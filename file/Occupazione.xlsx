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ernoni\Google Drive\HAL2017\COMUNE TORINO\OMLT INTERNA\AGGIORNAMENTO_STATISTICHE\"/>
    </mc:Choice>
  </mc:AlternateContent>
  <bookViews>
    <workbookView xWindow="-105" yWindow="-105" windowWidth="23250" windowHeight="12570"/>
  </bookViews>
  <sheets>
    <sheet name="INDICE" sheetId="4" r:id="rId1"/>
    <sheet name="LEGGIMI" sheetId="20" r:id="rId2"/>
    <sheet name="GLOSSARIO" sheetId="21" r:id="rId3"/>
    <sheet name="Tavola 1" sheetId="17" r:id="rId4"/>
    <sheet name="Tavola 2" sheetId="14" r:id="rId5"/>
    <sheet name="Tavola 3" sheetId="18" r:id="rId6"/>
    <sheet name="Tavola 4" sheetId="19"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5" i="19" l="1"/>
  <c r="W26" i="19"/>
  <c r="W27" i="19"/>
  <c r="W28" i="19"/>
  <c r="W29" i="19"/>
  <c r="W30" i="19"/>
  <c r="W12" i="19"/>
  <c r="P30" i="19"/>
  <c r="P29" i="19"/>
  <c r="P28" i="19"/>
  <c r="P27" i="19"/>
  <c r="P26" i="19"/>
  <c r="P25" i="19"/>
  <c r="P12" i="19"/>
  <c r="I25" i="19"/>
  <c r="I26" i="19"/>
  <c r="I27" i="19"/>
  <c r="I28" i="19"/>
  <c r="I29" i="19"/>
  <c r="I30" i="19"/>
  <c r="I12" i="19"/>
</calcChain>
</file>

<file path=xl/sharedStrings.xml><?xml version="1.0" encoding="utf-8"?>
<sst xmlns="http://schemas.openxmlformats.org/spreadsheetml/2006/main" count="200" uniqueCount="55">
  <si>
    <t>Tavola 1</t>
  </si>
  <si>
    <t>Tavola 2</t>
  </si>
  <si>
    <t>Tavola 3</t>
  </si>
  <si>
    <t>Tavola 4</t>
  </si>
  <si>
    <t>Torino</t>
  </si>
  <si>
    <t>Genova</t>
  </si>
  <si>
    <t>Milano</t>
  </si>
  <si>
    <t>Bologna</t>
  </si>
  <si>
    <t>Roma</t>
  </si>
  <si>
    <t>Napoli</t>
  </si>
  <si>
    <t>Provincia Torino</t>
  </si>
  <si>
    <t>Piemonte</t>
  </si>
  <si>
    <t>Nord</t>
  </si>
  <si>
    <t>Centro</t>
  </si>
  <si>
    <t>Italia</t>
  </si>
  <si>
    <t>Totale</t>
  </si>
  <si>
    <t>Area territoriale</t>
  </si>
  <si>
    <t>Donne</t>
  </si>
  <si>
    <t>Uomini</t>
  </si>
  <si>
    <t>Mezzogiorno</t>
  </si>
  <si>
    <t>Verona</t>
  </si>
  <si>
    <t>Venezia</t>
  </si>
  <si>
    <t>Firenze</t>
  </si>
  <si>
    <t>Bari</t>
  </si>
  <si>
    <t>Palermo</t>
  </si>
  <si>
    <t>Messina</t>
  </si>
  <si>
    <t>Catania</t>
  </si>
  <si>
    <t>TASSO DI OCCUPAZIONE 15-64 ANNI (%)</t>
  </si>
  <si>
    <t>Tavola 2 - Disocccupati 15-74  anni nei grandi comuni e tasso disoccupazione</t>
  </si>
  <si>
    <t>Tavola 3 - Non forze di lavoro 15-64 anni e tasso di inattività 15-64 anni per genere</t>
  </si>
  <si>
    <t>Tasso disoccupazione (15-74 anni)</t>
  </si>
  <si>
    <t>TASSO DI INATTIVITA' 15-64 ANNI (%)</t>
  </si>
  <si>
    <t>POPOLAZIONE 15-64 ANNI (migliaia)</t>
  </si>
  <si>
    <t>Tavola 4 - Popolazione 15-64 anni per genere</t>
  </si>
  <si>
    <t>Non forze di lavoro 15-64 anni e tasso di inattività 15-64 anni per genere</t>
  </si>
  <si>
    <t>Popolazione 15-64 anni per genere</t>
  </si>
  <si>
    <t>Stime ISTAT</t>
  </si>
  <si>
    <t>Stime IRES Piemonte</t>
  </si>
  <si>
    <t>OCCUPATI 15+ ANNI (migliaia)</t>
  </si>
  <si>
    <t>NON FORZE LAVORO 15-64 ANNI (migliaia)</t>
  </si>
  <si>
    <t>Provincia di Torino</t>
  </si>
  <si>
    <t>DISOCCUPATI 15-74 ANNI (migliaia)</t>
  </si>
  <si>
    <t>LEGGIMI</t>
  </si>
  <si>
    <t>GLOSSARIO</t>
  </si>
  <si>
    <t>INDICE DELLE TAVOLE</t>
  </si>
  <si>
    <t>Disocccupati 15-74  anni e tasso disoccupazione</t>
  </si>
  <si>
    <t>Occupati 15+ anni e tasso di occupazione 15-64 anni per genere</t>
  </si>
  <si>
    <t>Nota: La popolazione è stata stimata da IRES Piemonte utilizzando dati Istat</t>
  </si>
  <si>
    <r>
      <rPr>
        <b/>
        <sz val="11"/>
        <rFont val="Arial Narrow"/>
        <family val="2"/>
      </rPr>
      <t>Forze di lavoro</t>
    </r>
    <r>
      <rPr>
        <sz val="11"/>
        <rFont val="Arial Narrow"/>
        <family val="2"/>
      </rPr>
      <t xml:space="preserve">: comprendono gli occupati e le persone in cerca di occupazione.
</t>
    </r>
    <r>
      <rPr>
        <b/>
        <sz val="11"/>
        <rFont val="Arial Narrow"/>
        <family val="2"/>
      </rPr>
      <t>Occupati:</t>
    </r>
    <r>
      <rPr>
        <sz val="11"/>
        <rFont val="Arial Narrow"/>
        <family val="2"/>
      </rPr>
      <t xml:space="preserve"> comprendono le persone di 15 anni e più che nella settimana di riferimento:
− hanno svolto almeno un’ora di lavoro in una qualsiasi attività che preveda un corrispettivo monetario o in natura;
− hanno svolto almeno un’ora di lavoro non retribuito nella ditta di un familiare nella quale collaborano abitualmente;
− sono assenti dal lavoro (ad esempio, per ferie o malattia). I dipendenti assenti dal lavoro sono considerati occupati se l’assenza non supera tre mesi. Gli indipendenti assenti dal lavoro, ad eccezione dei coadiuvanti familiari, sono considerati occupati se, durante il periodo di assenza, mantengono l’attività. I coadiuvanti familiari sono considerati occupati se l’assenza non supera tre mesi.
</t>
    </r>
    <r>
      <rPr>
        <b/>
        <sz val="11"/>
        <rFont val="Arial Narrow"/>
        <family val="2"/>
      </rPr>
      <t>Persone in cerca di occupazione:</t>
    </r>
    <r>
      <rPr>
        <sz val="11"/>
        <rFont val="Arial Narrow"/>
        <family val="2"/>
      </rPr>
      <t xml:space="preserve"> comprendono le persone non occupate tra 15 e 74 anni che:
− hanno effettuato almeno un’azione attiva di ricerca di lavoro nei trenta giorni che precedono l’intervista e sono disponibili a lavorare (o ad avviare un’attività autonoma) entro le due settimane successive all’intervista;
− oppure, inizieranno un lavoro entro tre mesi dalla data dell’intervista e sono disponibili a lavorare (o ad avviare un’attività autonoma) entro le due settimane successive all’intervista, qualora fosse possibile anticipare l’inizio del lavoro.
</t>
    </r>
    <r>
      <rPr>
        <b/>
        <sz val="11"/>
        <rFont val="Arial Narrow"/>
        <family val="2"/>
      </rPr>
      <t>Inattivi:</t>
    </r>
    <r>
      <rPr>
        <sz val="11"/>
        <rFont val="Arial Narrow"/>
        <family val="2"/>
      </rPr>
      <t xml:space="preserve"> comprendono le persone che non fanno parte delle forze di lavoro, ovvero quelle non classificate come occupate o in cerca di occupazione.
</t>
    </r>
    <r>
      <rPr>
        <b/>
        <sz val="11"/>
        <rFont val="Arial Narrow"/>
        <family val="2"/>
      </rPr>
      <t>Tasso di attività:</t>
    </r>
    <r>
      <rPr>
        <sz val="11"/>
        <rFont val="Arial Narrow"/>
        <family val="2"/>
      </rPr>
      <t xml:space="preserve"> rapporto tra le persone appartenenti alle forze di lavoro e la corrispondente popolazione di riferimento.
</t>
    </r>
    <r>
      <rPr>
        <b/>
        <sz val="11"/>
        <rFont val="Arial Narrow"/>
        <family val="2"/>
      </rPr>
      <t>Tasso di inattività:</t>
    </r>
    <r>
      <rPr>
        <sz val="11"/>
        <rFont val="Arial Narrow"/>
        <family val="2"/>
      </rPr>
      <t xml:space="preserve"> rapporto tra le persone non appartenenti alle forze di lavoro e la corrispondente popolazione di riferimento. La somma del tasso di inattività e del tasso di attività è pari al 100 per cento.
</t>
    </r>
    <r>
      <rPr>
        <b/>
        <sz val="11"/>
        <rFont val="Arial Narrow"/>
        <family val="2"/>
      </rPr>
      <t>Tasso di occupazione:</t>
    </r>
    <r>
      <rPr>
        <sz val="11"/>
        <rFont val="Arial Narrow"/>
        <family val="2"/>
      </rPr>
      <t xml:space="preserve"> rapporto tra gli occupati e la corrispondente popolazione di riferimento.
</t>
    </r>
    <r>
      <rPr>
        <b/>
        <sz val="11"/>
        <rFont val="Arial Narrow"/>
        <family val="2"/>
      </rPr>
      <t>Tasso di disoccupazione:</t>
    </r>
    <r>
      <rPr>
        <sz val="11"/>
        <rFont val="Arial Narrow"/>
        <family val="2"/>
      </rPr>
      <t xml:space="preserve"> rapporto tra le persone in cerca di occupazione e le corrispondenti forze di lavoro.
</t>
    </r>
    <r>
      <rPr>
        <b/>
        <sz val="11"/>
        <rFont val="Arial Narrow"/>
        <family val="2"/>
      </rPr>
      <t>Tasso di disoccupazione di lunga durata:</t>
    </r>
    <r>
      <rPr>
        <sz val="11"/>
        <rFont val="Arial Narrow"/>
        <family val="2"/>
      </rPr>
      <t xml:space="preserve"> rapporto tra le persone in cerca di occupazione da dodici mesi e oltre e le forze di lavoro.
</t>
    </r>
    <r>
      <rPr>
        <b/>
        <sz val="11"/>
        <rFont val="Arial Narrow"/>
        <family val="2"/>
      </rPr>
      <t>Grandi comuni:</t>
    </r>
    <r>
      <rPr>
        <sz val="11"/>
        <rFont val="Arial Narrow"/>
        <family val="2"/>
      </rPr>
      <t xml:space="preserve"> comuni che al censimento del 2001 avevano almeno 250 mila abitanti (Roma, Milano, Napoli, Torino, Palermo, Genova, Bologna, Firenze, Bari, Catania, Venezia, Verona, Messina).</t>
    </r>
  </si>
  <si>
    <t>OFFERTA DI LAVORO - STIME PER I GRANDI COMUNI (Rilevazione sulle Forze di Lavoro ISTAT)</t>
  </si>
  <si>
    <t>Fonte: elaborazioni Ires Piemonte su dati RFL ISTAT (nuova rilevazione 2021)</t>
  </si>
  <si>
    <t>I dati sono disponibili dall'anno 2018 con aggiornamento annuale (prossimo aggiornamento a marzo 2026)</t>
  </si>
  <si>
    <r>
      <t xml:space="preserve">La </t>
    </r>
    <r>
      <rPr>
        <b/>
        <sz val="11"/>
        <rFont val="Arial Narrow"/>
        <family val="2"/>
      </rPr>
      <t>Rilevazione sulle Forze di Lavoro</t>
    </r>
    <r>
      <rPr>
        <sz val="11"/>
        <rFont val="Arial Narrow"/>
        <family val="2"/>
      </rPr>
      <t xml:space="preserve"> (RFL) è una </t>
    </r>
    <r>
      <rPr>
        <b/>
        <sz val="11"/>
        <rFont val="Arial Narrow"/>
        <family val="2"/>
      </rPr>
      <t>indagine campionaria</t>
    </r>
    <r>
      <rPr>
        <sz val="11"/>
        <rFont val="Arial Narrow"/>
        <family val="2"/>
      </rPr>
      <t xml:space="preserve"> condotta mediante interviste alle famiglie, il cui obiettivo principale è la </t>
    </r>
    <r>
      <rPr>
        <b/>
        <sz val="11"/>
        <rFont val="Arial Narrow"/>
        <family val="2"/>
      </rPr>
      <t>stima degli aggregati che compongono l’offerta di lavoro</t>
    </r>
    <r>
      <rPr>
        <sz val="11"/>
        <rFont val="Arial Narrow"/>
        <family val="2"/>
      </rPr>
      <t xml:space="preserve">. Dalla RFL derivano infatti le stime ufficiali a livello internazionale degli </t>
    </r>
    <r>
      <rPr>
        <b/>
        <sz val="11"/>
        <rFont val="Arial Narrow"/>
        <family val="2"/>
      </rPr>
      <t>occupati</t>
    </r>
    <r>
      <rPr>
        <sz val="11"/>
        <rFont val="Arial Narrow"/>
        <family val="2"/>
      </rPr>
      <t xml:space="preserve">, delle </t>
    </r>
    <r>
      <rPr>
        <b/>
        <sz val="11"/>
        <rFont val="Arial Narrow"/>
        <family val="2"/>
      </rPr>
      <t>persone in cerca di occupazione</t>
    </r>
    <r>
      <rPr>
        <sz val="11"/>
        <rFont val="Arial Narrow"/>
        <family val="2"/>
      </rPr>
      <t xml:space="preserve"> (talvolta definite in maniera divulgativa “disoccupati”), nonché delle </t>
    </r>
    <r>
      <rPr>
        <b/>
        <sz val="11"/>
        <rFont val="Arial Narrow"/>
        <family val="2"/>
      </rPr>
      <t>componenti inattive della popolazione</t>
    </r>
    <r>
      <rPr>
        <sz val="11"/>
        <rFont val="Arial Narrow"/>
        <family val="2"/>
      </rPr>
      <t xml:space="preserve">, con particolare riferimento a quelle in età da lavoro.  I dati relativi a questi aggregati principali sono articolati secondo le principali </t>
    </r>
    <r>
      <rPr>
        <b/>
        <sz val="11"/>
        <rFont val="Arial Narrow"/>
        <family val="2"/>
      </rPr>
      <t>variabili socio-anagrafiche</t>
    </r>
    <r>
      <rPr>
        <sz val="11"/>
        <rFont val="Arial Narrow"/>
        <family val="2"/>
      </rPr>
      <t xml:space="preserve"> e includono informazioni specifiche sulla </t>
    </r>
    <r>
      <rPr>
        <b/>
        <sz val="11"/>
        <rFont val="Arial Narrow"/>
        <family val="2"/>
      </rPr>
      <t>condizione occupazionale</t>
    </r>
    <r>
      <rPr>
        <sz val="11"/>
        <rFont val="Arial Narrow"/>
        <family val="2"/>
      </rPr>
      <t xml:space="preserve"> e le sue motivazioni, sulla </t>
    </r>
    <r>
      <rPr>
        <b/>
        <sz val="11"/>
        <rFont val="Arial Narrow"/>
        <family val="2"/>
      </rPr>
      <t>tipologia di occupazione</t>
    </r>
    <r>
      <rPr>
        <sz val="11"/>
        <rFont val="Arial Narrow"/>
        <family val="2"/>
      </rPr>
      <t xml:space="preserve"> (ad esempio, dipendente e indipendente) </t>
    </r>
    <r>
      <rPr>
        <b/>
        <sz val="11"/>
        <rFont val="Arial Narrow"/>
        <family val="2"/>
      </rPr>
      <t>e di impiego</t>
    </r>
    <r>
      <rPr>
        <sz val="11"/>
        <rFont val="Arial Narrow"/>
        <family val="2"/>
      </rPr>
      <t xml:space="preserve"> (ad esempio, permanente o a termine), sul </t>
    </r>
    <r>
      <rPr>
        <b/>
        <sz val="11"/>
        <rFont val="Arial Narrow"/>
        <family val="2"/>
      </rPr>
      <t>regime orario</t>
    </r>
    <r>
      <rPr>
        <sz val="11"/>
        <rFont val="Arial Narrow"/>
        <family val="2"/>
      </rPr>
      <t xml:space="preserve"> (ad esempio a tempo pieno o parziale), sulla </t>
    </r>
    <r>
      <rPr>
        <b/>
        <sz val="11"/>
        <rFont val="Arial Narrow"/>
        <family val="2"/>
      </rPr>
      <t>professione</t>
    </r>
    <r>
      <rPr>
        <sz val="11"/>
        <rFont val="Arial Narrow"/>
        <family val="2"/>
      </rPr>
      <t xml:space="preserve"> e il </t>
    </r>
    <r>
      <rPr>
        <b/>
        <sz val="11"/>
        <rFont val="Arial Narrow"/>
        <family val="2"/>
      </rPr>
      <t>settore di attività</t>
    </r>
    <r>
      <rPr>
        <sz val="11"/>
        <rFont val="Arial Narrow"/>
        <family val="2"/>
      </rPr>
      <t xml:space="preserve"> in cui operano gli occupati, oltre a un ampio set di informazioni accessorie. Le informazioni vengono raccolte dall'Istat intervistando ogni trimestre un campione di circa 60 mila famiglie, pari a 110 mila individui residenti in Italia. La natura campionaria dell’indagine condiziona l’articolazione delle informazioni, i domini territoriali per i quali è possibile elaborare le stime e la periodicità degli aggiornamenti, poiché l’aumento del dettaglio e della frequenza di aggiornamento comportano anche un maggior margine di errore.</t>
    </r>
    <r>
      <rPr>
        <b/>
        <sz val="11"/>
        <rFont val="Arial Narrow"/>
        <family val="2"/>
      </rPr>
      <t xml:space="preserve"> Pertanto, non tutte le informazioni sono disponibili per tutti i domini territoriali e/o con la stessa frequenza e l’ulteriore elaborazione dei dati è rimandata ad operatori esperti.</t>
    </r>
    <r>
      <rPr>
        <sz val="11"/>
        <rFont val="Arial Narrow"/>
        <family val="2"/>
      </rPr>
      <t xml:space="preserve"> Le tavole messe a disposizione dall’OMLT, basate su dati ad uso pubblico diffusi dall’ISTAT, tengono conto di questi vincoli e sono pertanto </t>
    </r>
    <r>
      <rPr>
        <b/>
        <sz val="11"/>
        <rFont val="Arial Narrow"/>
        <family val="2"/>
      </rPr>
      <t>meno articolate a livello locale</t>
    </r>
    <r>
      <rPr>
        <sz val="11"/>
        <rFont val="Arial Narrow"/>
        <family val="2"/>
      </rPr>
      <t xml:space="preserve"> e più articolate nei domini sovraordinati. Inoltre, negli anni l'indagine è stata più volte rinnovata per tenere conto delle continue trasformazioni del mercato del lavoro e delle crescenti esigenze conoscitive degli utilizzatori. I dati contenuti in queste tavole sono stati raccolti dall’ISTAT secondo le modalità previste dal Regolamento UE 2019/1700, in vigore dal 1° gennaio 2021, che ha stabilito l’armonizzazione della rilevazione a livello europeo e la ridefinizione di alcuni fenomeni osservati. </t>
    </r>
    <r>
      <rPr>
        <b/>
        <sz val="11"/>
        <rFont val="Arial Narrow"/>
        <family val="2"/>
      </rPr>
      <t>Questo passaggio ha determinato l’interruzione e parziale ricostruzione delle serie storiche, attualmente disponibili a partire dal 2018.</t>
    </r>
    <r>
      <rPr>
        <sz val="11"/>
        <rFont val="Arial Narrow"/>
        <family val="2"/>
      </rPr>
      <t xml:space="preserve">
Per maggiori informazioni è possibile fare riferimento alla pagina ufficiale della </t>
    </r>
    <r>
      <rPr>
        <b/>
        <sz val="11"/>
        <rFont val="Arial Narrow"/>
        <family val="2"/>
      </rPr>
      <t>Rilevazione sulle Forze di Lavoro sul sito dell’ISTAT</t>
    </r>
    <r>
      <rPr>
        <sz val="11"/>
        <rFont val="Arial Narrow"/>
        <family val="2"/>
      </rPr>
      <t xml:space="preserve">.
</t>
    </r>
  </si>
  <si>
    <t>Tavola 1 - Occupati 15+ anni* e tasso di occupazione 15-64 anni nei grandi comuni per genere</t>
  </si>
  <si>
    <t>* Si considera 15-89 anni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</si>
</sst>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_-;\-* #,##0_-;_-* &quot;-&quot;_-;_-@_-"/>
    <numFmt numFmtId="165" formatCode="_-* #,##0.00_-;\-* #,##0.00_-;_-* &quot;-&quot;??_-;_-@_-"/>
    <numFmt numFmtId="166" formatCode="_ &quot;L.&quot;\ * #,##0_ ;_ &quot;L.&quot;\ * \-#,##0_ ;_ &quot;L.&quot;\ * &quot;-&quot;_ ;_ @_ "/>
    <numFmt numFmtId="167" formatCode="_ * #,##0_ ;_ * \-#,##0_ ;_ * &quot;-&quot;_ ;_ @_ "/>
    <numFmt numFmtId="168" formatCode="#,##0_ ;\-#,##0\ "/>
    <numFmt numFmtId="169" formatCode="#,##0.0_ ;\-#,##0.0\ "/>
    <numFmt numFmtId="170" formatCode="#,##0.0"/>
  </numFmts>
  <fonts count="16" x14ac:knownFonts="1">
    <font>
      <sz val="11"/>
      <color theme="1"/>
      <name val="Calibri"/>
      <family val="2"/>
      <scheme val="minor"/>
    </font>
    <font>
      <sz val="11"/>
      <color theme="1"/>
      <name val="Arial Narrow"/>
      <family val="2"/>
    </font>
    <font>
      <b/>
      <sz val="11"/>
      <color theme="1"/>
      <name val="Arial Narrow"/>
      <family val="2"/>
    </font>
    <font>
      <sz val="11"/>
      <color theme="1"/>
      <name val="Calibri"/>
      <family val="2"/>
      <scheme val="minor"/>
    </font>
    <font>
      <sz val="10"/>
      <name val="Arial"/>
      <family val="2"/>
    </font>
    <font>
      <sz val="8"/>
      <name val="Calibri"/>
      <family val="2"/>
      <scheme val="minor"/>
    </font>
    <font>
      <sz val="11"/>
      <name val="Arial Narrow"/>
      <family val="2"/>
    </font>
    <font>
      <i/>
      <sz val="11"/>
      <color theme="1"/>
      <name val="Arial Narrow"/>
      <family val="2"/>
    </font>
    <font>
      <b/>
      <sz val="11"/>
      <name val="Arial Narrow"/>
      <family val="2"/>
    </font>
    <font>
      <sz val="11"/>
      <color indexed="8"/>
      <name val="Calibri"/>
      <family val="2"/>
      <scheme val="minor"/>
    </font>
    <font>
      <u/>
      <sz val="11"/>
      <color theme="10"/>
      <name val="Calibri"/>
      <family val="2"/>
      <scheme val="minor"/>
    </font>
    <font>
      <sz val="11"/>
      <color rgb="FF000000"/>
      <name val="Calibri"/>
      <family val="2"/>
      <scheme val="minor"/>
    </font>
    <font>
      <u/>
      <sz val="11"/>
      <color theme="10"/>
      <name val="Arial Narrow"/>
      <family val="2"/>
    </font>
    <font>
      <b/>
      <sz val="11"/>
      <color rgb="FFE6E6E6"/>
      <name val="Arial Narrow"/>
      <family val="2"/>
    </font>
    <font>
      <b/>
      <sz val="14"/>
      <color rgb="FF14468C"/>
      <name val="Arial Narrow"/>
      <family val="2"/>
    </font>
    <font>
      <i/>
      <sz val="11"/>
      <color theme="1"/>
      <name val="Arial Narrow"/>
    </font>
  </fonts>
  <fills count="4">
    <fill>
      <patternFill patternType="none"/>
    </fill>
    <fill>
      <patternFill patternType="gray125"/>
    </fill>
    <fill>
      <patternFill patternType="solid">
        <fgColor theme="0"/>
        <bgColor indexed="64"/>
      </patternFill>
    </fill>
    <fill>
      <patternFill patternType="solid">
        <fgColor theme="0"/>
        <bgColor theme="0"/>
      </patternFill>
    </fill>
  </fills>
  <borders count="18">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s>
  <cellStyleXfs count="12">
    <xf numFmtId="0" fontId="0" fillId="0" borderId="0"/>
    <xf numFmtId="165" fontId="3"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165" fontId="3" fillId="0" borderId="0" applyFont="0" applyFill="0" applyBorder="0" applyAlignment="0" applyProtection="0"/>
    <xf numFmtId="164" fontId="4" fillId="0" borderId="0" applyFont="0" applyFill="0" applyBorder="0" applyAlignment="0" applyProtection="0"/>
    <xf numFmtId="0" fontId="9" fillId="0" borderId="0"/>
    <xf numFmtId="0" fontId="10" fillId="0" borderId="0" applyNumberFormat="0" applyFill="0" applyBorder="0" applyAlignment="0" applyProtection="0"/>
  </cellStyleXfs>
  <cellXfs count="90">
    <xf numFmtId="0" fontId="0" fillId="0" borderId="0" xfId="0"/>
    <xf numFmtId="0" fontId="1" fillId="2" borderId="0" xfId="0" applyFont="1" applyFill="1"/>
    <xf numFmtId="0" fontId="1" fillId="2" borderId="0" xfId="0" applyFont="1" applyFill="1" applyAlignment="1">
      <alignment wrapText="1"/>
    </xf>
    <xf numFmtId="0" fontId="2" fillId="2" borderId="0" xfId="0" applyFont="1" applyFill="1"/>
    <xf numFmtId="0" fontId="7" fillId="2" borderId="0" xfId="0" applyFont="1" applyFill="1"/>
    <xf numFmtId="0" fontId="0" fillId="2" borderId="0" xfId="0" applyFill="1"/>
    <xf numFmtId="0" fontId="8" fillId="2" borderId="1"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1" xfId="0" applyFont="1" applyFill="1" applyBorder="1" applyAlignment="1">
      <alignment vertical="center"/>
    </xf>
    <xf numFmtId="0" fontId="1" fillId="2" borderId="9" xfId="0" applyFont="1" applyFill="1" applyBorder="1"/>
    <xf numFmtId="0" fontId="0" fillId="2" borderId="0" xfId="0" applyFill="1" applyAlignment="1">
      <alignment wrapText="1"/>
    </xf>
    <xf numFmtId="0" fontId="6" fillId="2" borderId="5" xfId="0" applyFont="1" applyFill="1" applyBorder="1"/>
    <xf numFmtId="0" fontId="6" fillId="2" borderId="5" xfId="0" applyFont="1" applyFill="1" applyBorder="1" applyAlignment="1">
      <alignment wrapText="1"/>
    </xf>
    <xf numFmtId="0" fontId="8" fillId="2" borderId="10" xfId="0" applyFont="1" applyFill="1" applyBorder="1" applyAlignment="1">
      <alignment vertical="center"/>
    </xf>
    <xf numFmtId="0" fontId="1" fillId="2" borderId="11" xfId="0" applyFont="1" applyFill="1" applyBorder="1"/>
    <xf numFmtId="0" fontId="6" fillId="2" borderId="0" xfId="0" applyFont="1" applyFill="1" applyAlignment="1">
      <alignment vertical="center"/>
    </xf>
    <xf numFmtId="0" fontId="13" fillId="2" borderId="0" xfId="0" applyFont="1" applyFill="1" applyAlignment="1">
      <alignment horizontal="left" vertical="center"/>
    </xf>
    <xf numFmtId="0" fontId="8" fillId="2" borderId="9" xfId="0" applyFont="1" applyFill="1" applyBorder="1" applyAlignment="1">
      <alignment vertical="center"/>
    </xf>
    <xf numFmtId="0" fontId="6" fillId="2" borderId="0" xfId="10" applyFont="1" applyFill="1" applyAlignment="1">
      <alignment vertical="center"/>
    </xf>
    <xf numFmtId="0" fontId="8" fillId="2" borderId="10" xfId="10" applyFont="1" applyFill="1" applyBorder="1" applyAlignment="1">
      <alignment vertical="center"/>
    </xf>
    <xf numFmtId="0" fontId="8" fillId="2" borderId="9" xfId="10" applyFont="1" applyFill="1" applyBorder="1" applyAlignment="1">
      <alignment vertical="center"/>
    </xf>
    <xf numFmtId="0" fontId="8" fillId="2" borderId="11" xfId="10" applyFont="1" applyFill="1" applyBorder="1" applyAlignment="1">
      <alignment vertical="center"/>
    </xf>
    <xf numFmtId="0" fontId="8" fillId="2" borderId="0" xfId="10" applyFont="1" applyFill="1" applyAlignment="1">
      <alignment vertical="center"/>
    </xf>
    <xf numFmtId="3" fontId="6" fillId="2" borderId="6" xfId="0" applyNumberFormat="1" applyFont="1" applyFill="1" applyBorder="1" applyAlignment="1">
      <alignment horizontal="justify" vertical="center"/>
    </xf>
    <xf numFmtId="3" fontId="6" fillId="2" borderId="0" xfId="1" applyNumberFormat="1" applyFont="1" applyFill="1" applyBorder="1" applyAlignment="1">
      <alignment horizontal="right" vertical="center"/>
    </xf>
    <xf numFmtId="3" fontId="6" fillId="2" borderId="7" xfId="0" applyNumberFormat="1" applyFont="1" applyFill="1" applyBorder="1" applyAlignment="1">
      <alignment horizontal="justify" vertical="center"/>
    </xf>
    <xf numFmtId="3" fontId="6" fillId="2" borderId="2" xfId="1" applyNumberFormat="1" applyFont="1" applyFill="1" applyBorder="1" applyAlignment="1">
      <alignment horizontal="right" vertical="center"/>
    </xf>
    <xf numFmtId="3" fontId="8" fillId="2" borderId="13" xfId="0" applyNumberFormat="1" applyFont="1" applyFill="1" applyBorder="1" applyAlignment="1">
      <alignment horizontal="justify" vertical="center"/>
    </xf>
    <xf numFmtId="168" fontId="8" fillId="2" borderId="12" xfId="1" applyNumberFormat="1" applyFont="1" applyFill="1" applyBorder="1" applyAlignment="1">
      <alignment horizontal="right" vertical="center"/>
    </xf>
    <xf numFmtId="168" fontId="8" fillId="2" borderId="13" xfId="1" applyNumberFormat="1" applyFont="1" applyFill="1" applyBorder="1" applyAlignment="1">
      <alignment horizontal="right" vertical="center"/>
    </xf>
    <xf numFmtId="168" fontId="6" fillId="2" borderId="0" xfId="1" applyNumberFormat="1" applyFont="1" applyFill="1" applyBorder="1" applyAlignment="1">
      <alignment horizontal="right" vertical="center"/>
    </xf>
    <xf numFmtId="168" fontId="6" fillId="2" borderId="6" xfId="1" applyNumberFormat="1" applyFont="1" applyFill="1" applyBorder="1" applyAlignment="1">
      <alignment horizontal="right" vertical="center"/>
    </xf>
    <xf numFmtId="3" fontId="6" fillId="2" borderId="15" xfId="0" applyNumberFormat="1" applyFont="1" applyFill="1" applyBorder="1" applyAlignment="1">
      <alignment horizontal="justify" vertical="center"/>
    </xf>
    <xf numFmtId="168" fontId="6" fillId="2" borderId="14" xfId="1" applyNumberFormat="1" applyFont="1" applyFill="1" applyBorder="1" applyAlignment="1">
      <alignment horizontal="right" vertical="center"/>
    </xf>
    <xf numFmtId="168" fontId="6" fillId="2" borderId="15" xfId="1" applyNumberFormat="1" applyFont="1" applyFill="1" applyBorder="1" applyAlignment="1">
      <alignment horizontal="right" vertical="center"/>
    </xf>
    <xf numFmtId="3" fontId="6" fillId="2" borderId="17" xfId="0" applyNumberFormat="1" applyFont="1" applyFill="1" applyBorder="1" applyAlignment="1">
      <alignment horizontal="justify" vertical="center"/>
    </xf>
    <xf numFmtId="168" fontId="6" fillId="2" borderId="16" xfId="1" applyNumberFormat="1" applyFont="1" applyFill="1" applyBorder="1" applyAlignment="1">
      <alignment horizontal="right" vertical="center"/>
    </xf>
    <xf numFmtId="168" fontId="6" fillId="2" borderId="17" xfId="1" applyNumberFormat="1" applyFont="1" applyFill="1" applyBorder="1" applyAlignment="1">
      <alignment horizontal="right" vertical="center"/>
    </xf>
    <xf numFmtId="168" fontId="6" fillId="2" borderId="2" xfId="1" applyNumberFormat="1" applyFont="1" applyFill="1" applyBorder="1" applyAlignment="1">
      <alignment horizontal="right" vertical="center"/>
    </xf>
    <xf numFmtId="168" fontId="6" fillId="2" borderId="7" xfId="1" applyNumberFormat="1" applyFont="1" applyFill="1" applyBorder="1" applyAlignment="1">
      <alignment horizontal="right" vertical="center"/>
    </xf>
    <xf numFmtId="169" fontId="8" fillId="2" borderId="12" xfId="1" applyNumberFormat="1" applyFont="1" applyFill="1" applyBorder="1" applyAlignment="1">
      <alignment horizontal="right" vertical="center"/>
    </xf>
    <xf numFmtId="169" fontId="8" fillId="2" borderId="13" xfId="1" applyNumberFormat="1" applyFont="1" applyFill="1" applyBorder="1" applyAlignment="1">
      <alignment horizontal="right" vertical="center"/>
    </xf>
    <xf numFmtId="169" fontId="6" fillId="2" borderId="0" xfId="1" applyNumberFormat="1" applyFont="1" applyFill="1" applyBorder="1" applyAlignment="1">
      <alignment horizontal="right" vertical="center"/>
    </xf>
    <xf numFmtId="169" fontId="6" fillId="2" borderId="6" xfId="1" applyNumberFormat="1" applyFont="1" applyFill="1" applyBorder="1" applyAlignment="1">
      <alignment horizontal="right" vertical="center"/>
    </xf>
    <xf numFmtId="169" fontId="6" fillId="2" borderId="14" xfId="1" applyNumberFormat="1" applyFont="1" applyFill="1" applyBorder="1" applyAlignment="1">
      <alignment horizontal="right" vertical="center"/>
    </xf>
    <xf numFmtId="169" fontId="6" fillId="2" borderId="15" xfId="1" applyNumberFormat="1" applyFont="1" applyFill="1" applyBorder="1" applyAlignment="1">
      <alignment horizontal="right" vertical="center"/>
    </xf>
    <xf numFmtId="169" fontId="6" fillId="2" borderId="16" xfId="1" applyNumberFormat="1" applyFont="1" applyFill="1" applyBorder="1" applyAlignment="1">
      <alignment horizontal="right" vertical="center"/>
    </xf>
    <xf numFmtId="169" fontId="6" fillId="2" borderId="17" xfId="1" applyNumberFormat="1" applyFont="1" applyFill="1" applyBorder="1" applyAlignment="1">
      <alignment horizontal="right" vertical="center"/>
    </xf>
    <xf numFmtId="169" fontId="6" fillId="2" borderId="2" xfId="1" applyNumberFormat="1" applyFont="1" applyFill="1" applyBorder="1" applyAlignment="1">
      <alignment horizontal="right" vertical="center"/>
    </xf>
    <xf numFmtId="169" fontId="6" fillId="2" borderId="7" xfId="1" applyNumberFormat="1" applyFont="1" applyFill="1" applyBorder="1" applyAlignment="1">
      <alignment horizontal="right" vertical="center"/>
    </xf>
    <xf numFmtId="3" fontId="6" fillId="2" borderId="14" xfId="1" applyNumberFormat="1" applyFont="1" applyFill="1" applyBorder="1" applyAlignment="1">
      <alignment horizontal="right" vertical="center"/>
    </xf>
    <xf numFmtId="3" fontId="6" fillId="2" borderId="16" xfId="1" applyNumberFormat="1" applyFont="1" applyFill="1" applyBorder="1" applyAlignment="1">
      <alignment horizontal="right" vertical="center"/>
    </xf>
    <xf numFmtId="170" fontId="6" fillId="2" borderId="0" xfId="1" applyNumberFormat="1" applyFont="1" applyFill="1" applyBorder="1" applyAlignment="1">
      <alignment horizontal="right" vertical="center"/>
    </xf>
    <xf numFmtId="170" fontId="6" fillId="2" borderId="14" xfId="1" applyNumberFormat="1" applyFont="1" applyFill="1" applyBorder="1" applyAlignment="1">
      <alignment horizontal="right" vertical="center"/>
    </xf>
    <xf numFmtId="170" fontId="6" fillId="2" borderId="16" xfId="1" applyNumberFormat="1" applyFont="1" applyFill="1" applyBorder="1" applyAlignment="1">
      <alignment horizontal="right" vertical="center"/>
    </xf>
    <xf numFmtId="170" fontId="6" fillId="2" borderId="2" xfId="1" applyNumberFormat="1" applyFont="1" applyFill="1" applyBorder="1" applyAlignment="1">
      <alignment horizontal="right" vertical="center"/>
    </xf>
    <xf numFmtId="3" fontId="8" fillId="2" borderId="12" xfId="1" applyNumberFormat="1" applyFont="1" applyFill="1" applyBorder="1" applyAlignment="1">
      <alignment horizontal="right" vertical="center"/>
    </xf>
    <xf numFmtId="170" fontId="8" fillId="2" borderId="12" xfId="1" applyNumberFormat="1" applyFont="1" applyFill="1" applyBorder="1" applyAlignment="1">
      <alignment horizontal="right" vertical="center"/>
    </xf>
    <xf numFmtId="0" fontId="12" fillId="2" borderId="5" xfId="11" applyFont="1" applyFill="1" applyBorder="1" applyAlignment="1">
      <alignmen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6" xfId="0" applyFont="1" applyFill="1" applyBorder="1" applyAlignment="1">
      <alignment vertical="center"/>
    </xf>
    <xf numFmtId="0" fontId="12" fillId="2" borderId="8" xfId="11" applyFont="1" applyFill="1" applyBorder="1" applyAlignment="1">
      <alignment vertical="center"/>
    </xf>
    <xf numFmtId="0" fontId="1" fillId="2" borderId="2" xfId="0" applyFont="1" applyFill="1" applyBorder="1" applyAlignment="1">
      <alignment vertical="center"/>
    </xf>
    <xf numFmtId="0" fontId="1" fillId="2" borderId="2" xfId="0" applyFont="1" applyFill="1" applyBorder="1" applyAlignment="1">
      <alignment vertical="center" wrapText="1"/>
    </xf>
    <xf numFmtId="0" fontId="1" fillId="2" borderId="7" xfId="0" applyFont="1" applyFill="1" applyBorder="1" applyAlignment="1">
      <alignment vertical="center"/>
    </xf>
    <xf numFmtId="0" fontId="14" fillId="2" borderId="0" xfId="0" applyFont="1" applyFill="1" applyAlignment="1">
      <alignment horizontal="left" vertical="center"/>
    </xf>
    <xf numFmtId="0" fontId="8" fillId="2" borderId="2" xfId="0" applyFont="1" applyFill="1" applyBorder="1" applyAlignment="1">
      <alignment horizontal="center" vertical="center"/>
    </xf>
    <xf numFmtId="0" fontId="15" fillId="3" borderId="0" xfId="0" applyFont="1" applyFill="1"/>
    <xf numFmtId="3" fontId="11" fillId="2" borderId="0" xfId="0" applyNumberFormat="1" applyFont="1" applyFill="1"/>
    <xf numFmtId="0" fontId="11" fillId="2" borderId="0" xfId="0" applyFont="1" applyFill="1"/>
    <xf numFmtId="49" fontId="6" fillId="2" borderId="10" xfId="11" applyNumberFormat="1" applyFont="1" applyFill="1" applyBorder="1" applyAlignment="1">
      <alignment horizontal="left" vertical="top" wrapText="1"/>
    </xf>
    <xf numFmtId="49" fontId="6" fillId="2" borderId="9" xfId="11" applyNumberFormat="1" applyFont="1" applyFill="1" applyBorder="1" applyAlignment="1">
      <alignment horizontal="left" vertical="top" wrapText="1"/>
    </xf>
    <xf numFmtId="49" fontId="6" fillId="2" borderId="11" xfId="11" applyNumberFormat="1" applyFont="1" applyFill="1" applyBorder="1" applyAlignment="1">
      <alignment horizontal="left" vertical="top" wrapText="1"/>
    </xf>
    <xf numFmtId="0" fontId="6" fillId="2" borderId="10" xfId="10" applyFont="1" applyFill="1" applyBorder="1" applyAlignment="1">
      <alignment horizontal="left" vertical="center" wrapText="1"/>
    </xf>
    <xf numFmtId="0" fontId="6" fillId="2" borderId="9" xfId="10" applyFont="1" applyFill="1" applyBorder="1" applyAlignment="1">
      <alignment horizontal="left" vertical="center" wrapText="1"/>
    </xf>
    <xf numFmtId="0" fontId="6" fillId="2" borderId="11" xfId="10" applyFont="1" applyFill="1" applyBorder="1" applyAlignment="1">
      <alignment horizontal="left" vertical="center" wrapText="1"/>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7"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6" xfId="0" applyFont="1" applyFill="1" applyBorder="1" applyAlignment="1">
      <alignment horizontal="center" vertical="center"/>
    </xf>
    <xf numFmtId="0" fontId="2" fillId="2" borderId="11" xfId="0" applyFont="1" applyFill="1" applyBorder="1" applyAlignment="1">
      <alignment horizontal="center" vertical="center"/>
    </xf>
    <xf numFmtId="0" fontId="1" fillId="2" borderId="9" xfId="0" applyFont="1" applyFill="1" applyBorder="1" applyAlignment="1">
      <alignment horizontal="center" vertical="center"/>
    </xf>
  </cellXfs>
  <cellStyles count="12">
    <cellStyle name="Collegamento ipertestuale" xfId="11" builtinId="8"/>
    <cellStyle name="Migliaia" xfId="1" builtinId="3"/>
    <cellStyle name="Migliaia (0)_1°Quadrim." xfId="3"/>
    <cellStyle name="Migliaia [0] 2" xfId="9"/>
    <cellStyle name="Migliaia 2" xfId="8"/>
    <cellStyle name="Normale" xfId="0" builtinId="0"/>
    <cellStyle name="Normale 2" xfId="2"/>
    <cellStyle name="Normale 2 2" xfId="4"/>
    <cellStyle name="Normale 3" xfId="5"/>
    <cellStyle name="Normale 4" xfId="7"/>
    <cellStyle name="Normale 5" xfId="10"/>
    <cellStyle name="Valuta (0)_1°Quadrim." xfId="6"/>
  </cellStyles>
  <dxfs count="0"/>
  <tableStyles count="0" defaultTableStyle="TableStyleMedium2" defaultPivotStyle="PivotStyleLight16"/>
  <colors>
    <mruColors>
      <color rgb="FF1446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2" name="Immagine 1">
          <a:extLst>
            <a:ext uri="{FF2B5EF4-FFF2-40B4-BE49-F238E27FC236}">
              <a16:creationId xmlns:a16="http://schemas.microsoft.com/office/drawing/2014/main" id="{999A8BFD-286E-4CA5-82FE-00DD8769804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3" name="Immagine 2">
          <a:extLst>
            <a:ext uri="{FF2B5EF4-FFF2-40B4-BE49-F238E27FC236}">
              <a16:creationId xmlns:a16="http://schemas.microsoft.com/office/drawing/2014/main" id="{AE78BDB0-75CC-456E-BE79-D21C4D00CD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2" name="Immagine 1">
          <a:extLst>
            <a:ext uri="{FF2B5EF4-FFF2-40B4-BE49-F238E27FC236}">
              <a16:creationId xmlns:a16="http://schemas.microsoft.com/office/drawing/2014/main" id="{4B0977AC-4735-40A9-8D93-5C01C026CC7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411859</xdr:colOff>
      <xdr:row>3</xdr:row>
      <xdr:rowOff>133350</xdr:rowOff>
    </xdr:to>
    <xdr:pic>
      <xdr:nvPicPr>
        <xdr:cNvPr id="2" name="Immagine 1">
          <a:extLst>
            <a:ext uri="{FF2B5EF4-FFF2-40B4-BE49-F238E27FC236}">
              <a16:creationId xmlns:a16="http://schemas.microsoft.com/office/drawing/2014/main" id="{FCEA8429-2070-4D2B-9013-738DC87ABE7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411859</xdr:colOff>
      <xdr:row>3</xdr:row>
      <xdr:rowOff>133350</xdr:rowOff>
    </xdr:to>
    <xdr:pic>
      <xdr:nvPicPr>
        <xdr:cNvPr id="2" name="Immagine 1">
          <a:extLst>
            <a:ext uri="{FF2B5EF4-FFF2-40B4-BE49-F238E27FC236}">
              <a16:creationId xmlns:a16="http://schemas.microsoft.com/office/drawing/2014/main" id="{3278AA1B-2C36-4D4B-869D-2CBE5540911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411859</xdr:colOff>
      <xdr:row>3</xdr:row>
      <xdr:rowOff>133350</xdr:rowOff>
    </xdr:to>
    <xdr:pic>
      <xdr:nvPicPr>
        <xdr:cNvPr id="2" name="Immagine 1">
          <a:extLst>
            <a:ext uri="{FF2B5EF4-FFF2-40B4-BE49-F238E27FC236}">
              <a16:creationId xmlns:a16="http://schemas.microsoft.com/office/drawing/2014/main" id="{F012D644-EBB0-454A-A7C7-36696CECACD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411859</xdr:colOff>
      <xdr:row>3</xdr:row>
      <xdr:rowOff>133350</xdr:rowOff>
    </xdr:to>
    <xdr:pic>
      <xdr:nvPicPr>
        <xdr:cNvPr id="2" name="Immagine 1">
          <a:extLst>
            <a:ext uri="{FF2B5EF4-FFF2-40B4-BE49-F238E27FC236}">
              <a16:creationId xmlns:a16="http://schemas.microsoft.com/office/drawing/2014/main" id="{1EA3F1BF-87A7-4E4D-99AA-B1876291018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62940" y="205740"/>
          <a:ext cx="2354959" cy="544830"/>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Downloads/Statistiche_RFL_grandi%20comuni.xlsx" TargetMode="External"/><Relationship Id="rId2" Type="http://schemas.openxmlformats.org/officeDocument/2006/relationships/hyperlink" Target="../../../../Downloads/Statistiche_RFL_grandi%20comuni.xlsx" TargetMode="External"/><Relationship Id="rId1" Type="http://schemas.openxmlformats.org/officeDocument/2006/relationships/hyperlink" Target="..\..\..\..\Downloads\Statistiche_RFL_grandi%20comuni.xlsx"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Downloads/Statistiche_RFL_grandi%20comuni.xls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tabSelected="1" zoomScaleNormal="100" workbookViewId="0"/>
  </sheetViews>
  <sheetFormatPr defaultColWidth="9.7109375" defaultRowHeight="16.5" customHeight="1" x14ac:dyDescent="0.3"/>
  <cols>
    <col min="1" max="1" width="9.7109375" style="1" customWidth="1"/>
    <col min="2" max="6" width="9.7109375" style="1"/>
    <col min="7" max="7" width="9.7109375" style="2"/>
    <col min="8" max="16384" width="9.7109375" style="1"/>
  </cols>
  <sheetData>
    <row r="1" spans="1:10" s="18" customFormat="1" ht="16.5" customHeight="1" x14ac:dyDescent="0.25"/>
    <row r="2" spans="1:10" s="18" customFormat="1" ht="16.5" customHeight="1" x14ac:dyDescent="0.25">
      <c r="B2" s="19"/>
      <c r="F2" s="69" t="s">
        <v>49</v>
      </c>
    </row>
    <row r="3" spans="1:10" s="18" customFormat="1" ht="16.5" customHeight="1" x14ac:dyDescent="0.25">
      <c r="B3" s="19"/>
    </row>
    <row r="4" spans="1:10" s="18" customFormat="1" ht="16.5" customHeight="1" x14ac:dyDescent="0.25"/>
    <row r="5" spans="1:10" s="18" customFormat="1" ht="16.5" customHeight="1" x14ac:dyDescent="0.25"/>
    <row r="7" spans="1:10" ht="16.5" customHeight="1" x14ac:dyDescent="0.3">
      <c r="A7" s="16" t="s">
        <v>44</v>
      </c>
      <c r="B7" s="12"/>
      <c r="C7" s="12"/>
      <c r="D7" s="12"/>
      <c r="E7" s="12"/>
      <c r="F7" s="12"/>
      <c r="G7" s="12"/>
      <c r="H7" s="12"/>
      <c r="I7" s="12"/>
      <c r="J7" s="17"/>
    </row>
    <row r="8" spans="1:10" ht="16.5" customHeight="1" x14ac:dyDescent="0.3">
      <c r="A8" s="61" t="s">
        <v>0</v>
      </c>
      <c r="B8" s="62" t="s">
        <v>46</v>
      </c>
      <c r="C8" s="62"/>
      <c r="D8" s="62"/>
      <c r="E8" s="62"/>
      <c r="F8" s="62"/>
      <c r="G8" s="63"/>
      <c r="H8" s="62"/>
      <c r="I8" s="62" t="s">
        <v>36</v>
      </c>
      <c r="J8" s="64"/>
    </row>
    <row r="9" spans="1:10" ht="16.5" customHeight="1" x14ac:dyDescent="0.3">
      <c r="A9" s="61" t="s">
        <v>1</v>
      </c>
      <c r="B9" s="62" t="s">
        <v>45</v>
      </c>
      <c r="C9" s="62"/>
      <c r="D9" s="62"/>
      <c r="E9" s="62"/>
      <c r="F9" s="62"/>
      <c r="G9" s="63"/>
      <c r="H9" s="62"/>
      <c r="I9" s="62" t="s">
        <v>36</v>
      </c>
      <c r="J9" s="64"/>
    </row>
    <row r="10" spans="1:10" ht="16.5" customHeight="1" x14ac:dyDescent="0.3">
      <c r="A10" s="61" t="s">
        <v>2</v>
      </c>
      <c r="B10" s="62" t="s">
        <v>34</v>
      </c>
      <c r="C10" s="62"/>
      <c r="D10" s="62"/>
      <c r="E10" s="62"/>
      <c r="F10" s="62"/>
      <c r="G10" s="63"/>
      <c r="H10" s="62"/>
      <c r="I10" s="62" t="s">
        <v>36</v>
      </c>
      <c r="J10" s="64"/>
    </row>
    <row r="11" spans="1:10" ht="16.5" customHeight="1" x14ac:dyDescent="0.3">
      <c r="A11" s="65" t="s">
        <v>3</v>
      </c>
      <c r="B11" s="66" t="s">
        <v>35</v>
      </c>
      <c r="C11" s="66"/>
      <c r="D11" s="66"/>
      <c r="E11" s="66"/>
      <c r="F11" s="66"/>
      <c r="G11" s="67"/>
      <c r="H11" s="66"/>
      <c r="I11" s="66" t="s">
        <v>37</v>
      </c>
      <c r="J11" s="68"/>
    </row>
    <row r="12" spans="1:10" ht="16.5" customHeight="1" x14ac:dyDescent="0.3">
      <c r="A12" s="14"/>
    </row>
    <row r="13" spans="1:10" ht="16.5" customHeight="1" x14ac:dyDescent="0.3">
      <c r="A13" s="14"/>
    </row>
    <row r="14" spans="1:10" ht="16.5" customHeight="1" x14ac:dyDescent="0.3">
      <c r="A14" s="14"/>
    </row>
    <row r="15" spans="1:10" ht="16.5" customHeight="1" x14ac:dyDescent="0.3">
      <c r="A15" s="14"/>
    </row>
    <row r="16" spans="1:10" ht="16.5" customHeight="1" x14ac:dyDescent="0.3">
      <c r="A16" s="14"/>
    </row>
  </sheetData>
  <phoneticPr fontId="5" type="noConversion"/>
  <hyperlinks>
    <hyperlink ref="A8" r:id="rId1" location="'Tavola 1'!A1"/>
    <hyperlink ref="A9" r:id="rId2" location="'Tavola 2'!A1"/>
    <hyperlink ref="A10" r:id="rId3" location="'Tavola 3'!A1"/>
    <hyperlink ref="A11" r:id="rId4" location="'Tavola 4'!A1"/>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zoomScaleNormal="100" workbookViewId="0"/>
  </sheetViews>
  <sheetFormatPr defaultColWidth="9.7109375" defaultRowHeight="16.5" customHeight="1" x14ac:dyDescent="0.25"/>
  <cols>
    <col min="1" max="1" width="9.7109375" style="5" customWidth="1"/>
    <col min="2" max="6" width="9.7109375" style="5"/>
    <col min="7" max="7" width="9.7109375" style="13"/>
    <col min="8" max="16384" width="9.7109375" style="5"/>
  </cols>
  <sheetData>
    <row r="1" spans="1:18" s="18" customFormat="1" ht="16.5" customHeight="1" x14ac:dyDescent="0.25"/>
    <row r="2" spans="1:18" s="18" customFormat="1" ht="16.5" customHeight="1" x14ac:dyDescent="0.25">
      <c r="B2" s="19"/>
      <c r="F2" s="69" t="s">
        <v>49</v>
      </c>
    </row>
    <row r="3" spans="1:18" s="18" customFormat="1" ht="16.5" customHeight="1" x14ac:dyDescent="0.25">
      <c r="B3" s="19"/>
    </row>
    <row r="4" spans="1:18" s="18" customFormat="1" ht="16.5" customHeight="1" x14ac:dyDescent="0.25"/>
    <row r="5" spans="1:18" s="18" customFormat="1" ht="16.5" customHeight="1" x14ac:dyDescent="0.25"/>
    <row r="6" spans="1:18" ht="16.5" customHeight="1" x14ac:dyDescent="0.25">
      <c r="A6" s="16" t="s">
        <v>42</v>
      </c>
      <c r="B6" s="20"/>
      <c r="C6" s="20"/>
      <c r="D6" s="20"/>
      <c r="E6" s="20"/>
      <c r="F6" s="20"/>
      <c r="G6" s="20"/>
      <c r="H6" s="20"/>
      <c r="I6" s="20"/>
      <c r="J6" s="20"/>
      <c r="K6" s="20"/>
      <c r="L6" s="20"/>
      <c r="M6" s="20"/>
      <c r="N6" s="20"/>
      <c r="O6" s="20"/>
      <c r="P6" s="20"/>
      <c r="Q6" s="20"/>
      <c r="R6" s="11"/>
    </row>
    <row r="7" spans="1:18" ht="203.1" customHeight="1" x14ac:dyDescent="0.25">
      <c r="A7" s="74" t="s">
        <v>52</v>
      </c>
      <c r="B7" s="75"/>
      <c r="C7" s="75"/>
      <c r="D7" s="75"/>
      <c r="E7" s="75"/>
      <c r="F7" s="75"/>
      <c r="G7" s="75"/>
      <c r="H7" s="75"/>
      <c r="I7" s="75"/>
      <c r="J7" s="75"/>
      <c r="K7" s="75"/>
      <c r="L7" s="75"/>
      <c r="M7" s="75"/>
      <c r="N7" s="75"/>
      <c r="O7" s="75"/>
      <c r="P7" s="75"/>
      <c r="Q7" s="75"/>
      <c r="R7" s="76"/>
    </row>
    <row r="8" spans="1:18" ht="16.5" customHeight="1" x14ac:dyDescent="0.3">
      <c r="A8" s="15"/>
    </row>
    <row r="9" spans="1:18" ht="16.5" customHeight="1" x14ac:dyDescent="0.3">
      <c r="A9" s="15"/>
    </row>
    <row r="10" spans="1:18" ht="16.5" customHeight="1" x14ac:dyDescent="0.3">
      <c r="A10" s="14"/>
    </row>
    <row r="11" spans="1:18" ht="16.5" customHeight="1" x14ac:dyDescent="0.3">
      <c r="A11" s="14"/>
    </row>
  </sheetData>
  <mergeCells count="1">
    <mergeCell ref="A7: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zoomScaleNormal="100" workbookViewId="0"/>
  </sheetViews>
  <sheetFormatPr defaultColWidth="9.7109375" defaultRowHeight="16.5" customHeight="1" x14ac:dyDescent="0.25"/>
  <cols>
    <col min="1" max="1" width="9.7109375" style="5" customWidth="1"/>
    <col min="2" max="6" width="9.7109375" style="5"/>
    <col min="7" max="7" width="9.7109375" style="13"/>
    <col min="8" max="16384" width="9.7109375" style="5"/>
  </cols>
  <sheetData>
    <row r="1" spans="1:18" s="18" customFormat="1" ht="16.5" customHeight="1" x14ac:dyDescent="0.25"/>
    <row r="2" spans="1:18" s="18" customFormat="1" ht="16.5" customHeight="1" x14ac:dyDescent="0.25">
      <c r="B2" s="19"/>
      <c r="F2" s="69" t="s">
        <v>49</v>
      </c>
    </row>
    <row r="3" spans="1:18" s="18" customFormat="1" ht="16.5" customHeight="1" x14ac:dyDescent="0.25">
      <c r="B3" s="19"/>
    </row>
    <row r="4" spans="1:18" s="18" customFormat="1" ht="16.5" customHeight="1" x14ac:dyDescent="0.25"/>
    <row r="5" spans="1:18" s="21" customFormat="1" ht="16.5" customHeight="1" x14ac:dyDescent="0.25"/>
    <row r="6" spans="1:18" s="25" customFormat="1" ht="16.5" customHeight="1" x14ac:dyDescent="0.25">
      <c r="A6" s="22" t="s">
        <v>43</v>
      </c>
      <c r="B6" s="23"/>
      <c r="C6" s="23"/>
      <c r="D6" s="23"/>
      <c r="E6" s="23"/>
      <c r="F6" s="23"/>
      <c r="G6" s="23"/>
      <c r="H6" s="23"/>
      <c r="I6" s="23"/>
      <c r="J6" s="23"/>
      <c r="K6" s="23"/>
      <c r="L6" s="23"/>
      <c r="M6" s="23"/>
      <c r="N6" s="23"/>
      <c r="O6" s="23"/>
      <c r="P6" s="23"/>
      <c r="Q6" s="23"/>
      <c r="R6" s="24"/>
    </row>
    <row r="7" spans="1:18" ht="281.10000000000002" customHeight="1" x14ac:dyDescent="0.25">
      <c r="A7" s="77" t="s">
        <v>48</v>
      </c>
      <c r="B7" s="78"/>
      <c r="C7" s="78"/>
      <c r="D7" s="78"/>
      <c r="E7" s="78"/>
      <c r="F7" s="78"/>
      <c r="G7" s="78"/>
      <c r="H7" s="78"/>
      <c r="I7" s="78"/>
      <c r="J7" s="78"/>
      <c r="K7" s="78"/>
      <c r="L7" s="78"/>
      <c r="M7" s="78"/>
      <c r="N7" s="78"/>
      <c r="O7" s="78"/>
      <c r="P7" s="78"/>
      <c r="Q7" s="78"/>
      <c r="R7" s="79"/>
    </row>
    <row r="8" spans="1:18" ht="16.5" customHeight="1" x14ac:dyDescent="0.3">
      <c r="A8" s="15"/>
    </row>
    <row r="9" spans="1:18" ht="16.5" customHeight="1" x14ac:dyDescent="0.3">
      <c r="A9" s="15"/>
    </row>
    <row r="10" spans="1:18" ht="16.5" customHeight="1" x14ac:dyDescent="0.3">
      <c r="A10" s="14"/>
    </row>
    <row r="11" spans="1:18" ht="16.5" customHeight="1" x14ac:dyDescent="0.3">
      <c r="A11" s="14"/>
    </row>
  </sheetData>
  <mergeCells count="1">
    <mergeCell ref="A7:R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W56"/>
  <sheetViews>
    <sheetView zoomScaleNormal="100" workbookViewId="0"/>
  </sheetViews>
  <sheetFormatPr defaultColWidth="9.7109375" defaultRowHeight="16.5" customHeight="1" x14ac:dyDescent="0.3"/>
  <cols>
    <col min="1" max="1" width="9.7109375" style="1" customWidth="1"/>
    <col min="2" max="2" width="18.7109375" style="1" customWidth="1"/>
    <col min="3" max="3" width="9.7109375" style="1" customWidth="1"/>
    <col min="4" max="16384" width="9.7109375" style="1"/>
  </cols>
  <sheetData>
    <row r="1" spans="2:23" s="18" customFormat="1" ht="16.5" customHeight="1" x14ac:dyDescent="0.25"/>
    <row r="2" spans="2:23" s="18" customFormat="1" ht="16.5" customHeight="1" x14ac:dyDescent="0.25">
      <c r="B2" s="19"/>
      <c r="E2" s="69" t="s">
        <v>49</v>
      </c>
    </row>
    <row r="3" spans="2:23" s="18" customFormat="1" ht="16.5" customHeight="1" x14ac:dyDescent="0.25">
      <c r="B3" s="19"/>
    </row>
    <row r="4" spans="2:23" s="18" customFormat="1" ht="16.5" customHeight="1" x14ac:dyDescent="0.25"/>
    <row r="5" spans="2:23" s="18" customFormat="1" ht="16.5" customHeight="1" x14ac:dyDescent="0.25"/>
    <row r="6" spans="2:23" ht="16.5" customHeight="1" x14ac:dyDescent="0.3">
      <c r="B6" s="3" t="s">
        <v>53</v>
      </c>
    </row>
    <row r="7" spans="2:23" ht="16.5" customHeight="1" x14ac:dyDescent="0.3">
      <c r="B7" s="4" t="s">
        <v>51</v>
      </c>
    </row>
    <row r="8" spans="2:23" ht="16.5" customHeight="1" x14ac:dyDescent="0.3">
      <c r="B8" s="4"/>
    </row>
    <row r="9" spans="2:23" ht="16.5" customHeight="1" x14ac:dyDescent="0.3">
      <c r="B9" s="80" t="s">
        <v>38</v>
      </c>
      <c r="C9" s="80"/>
      <c r="D9" s="80"/>
      <c r="E9" s="80"/>
      <c r="F9" s="80"/>
      <c r="G9" s="80"/>
      <c r="H9" s="80"/>
      <c r="I9" s="80"/>
      <c r="J9" s="80"/>
      <c r="K9" s="80"/>
      <c r="L9" s="80"/>
      <c r="M9" s="80"/>
      <c r="N9" s="80"/>
      <c r="O9" s="80"/>
      <c r="P9" s="80"/>
      <c r="Q9" s="80"/>
      <c r="R9" s="80"/>
      <c r="S9" s="80"/>
      <c r="T9" s="80"/>
      <c r="U9" s="80"/>
      <c r="V9" s="80"/>
      <c r="W9" s="80"/>
    </row>
    <row r="10" spans="2:23" ht="16.5" customHeight="1" x14ac:dyDescent="0.3">
      <c r="B10" s="87" t="s">
        <v>16</v>
      </c>
      <c r="C10" s="82" t="s">
        <v>15</v>
      </c>
      <c r="D10" s="82"/>
      <c r="E10" s="82"/>
      <c r="F10" s="82"/>
      <c r="G10" s="82"/>
      <c r="H10" s="82"/>
      <c r="I10" s="82"/>
      <c r="J10" s="83" t="s">
        <v>17</v>
      </c>
      <c r="K10" s="82"/>
      <c r="L10" s="82"/>
      <c r="M10" s="82"/>
      <c r="N10" s="82"/>
      <c r="O10" s="82"/>
      <c r="P10" s="84"/>
      <c r="Q10" s="81" t="s">
        <v>18</v>
      </c>
      <c r="R10" s="80"/>
      <c r="S10" s="80"/>
      <c r="T10" s="80"/>
      <c r="U10" s="80"/>
      <c r="V10" s="80"/>
      <c r="W10" s="80"/>
    </row>
    <row r="11" spans="2:23" ht="16.5" customHeight="1" x14ac:dyDescent="0.3">
      <c r="B11" s="86"/>
      <c r="C11" s="7">
        <v>2018</v>
      </c>
      <c r="D11" s="7">
        <v>2019</v>
      </c>
      <c r="E11" s="7">
        <v>2020</v>
      </c>
      <c r="F11" s="7">
        <v>2021</v>
      </c>
      <c r="G11" s="7">
        <v>2022</v>
      </c>
      <c r="H11" s="7">
        <v>2023</v>
      </c>
      <c r="I11" s="10">
        <v>2024</v>
      </c>
      <c r="J11" s="7">
        <v>2018</v>
      </c>
      <c r="K11" s="7">
        <v>2019</v>
      </c>
      <c r="L11" s="7">
        <v>2020</v>
      </c>
      <c r="M11" s="7">
        <v>2021</v>
      </c>
      <c r="N11" s="7">
        <v>2022</v>
      </c>
      <c r="O11" s="7">
        <v>2023</v>
      </c>
      <c r="P11" s="10">
        <v>2024</v>
      </c>
      <c r="Q11" s="70">
        <v>2018</v>
      </c>
      <c r="R11" s="70">
        <v>2019</v>
      </c>
      <c r="S11" s="70">
        <v>2020</v>
      </c>
      <c r="T11" s="70">
        <v>2021</v>
      </c>
      <c r="U11" s="70">
        <v>2022</v>
      </c>
      <c r="V11" s="70">
        <v>2023</v>
      </c>
      <c r="W11" s="70">
        <v>2024</v>
      </c>
    </row>
    <row r="12" spans="2:23" ht="16.5" customHeight="1" x14ac:dyDescent="0.3">
      <c r="B12" s="30" t="s">
        <v>4</v>
      </c>
      <c r="C12" s="31">
        <v>373.09800000000001</v>
      </c>
      <c r="D12" s="31">
        <v>372.24200000000002</v>
      </c>
      <c r="E12" s="31">
        <v>349.35899999999998</v>
      </c>
      <c r="F12" s="31">
        <v>352.73899999999998</v>
      </c>
      <c r="G12" s="31">
        <v>360.52</v>
      </c>
      <c r="H12" s="31">
        <v>353.79199999999997</v>
      </c>
      <c r="I12" s="32">
        <v>368.98599999999999</v>
      </c>
      <c r="J12" s="31">
        <v>175.12700000000001</v>
      </c>
      <c r="K12" s="31">
        <v>175.608</v>
      </c>
      <c r="L12" s="31">
        <v>162.50800000000001</v>
      </c>
      <c r="M12" s="31">
        <v>155.506</v>
      </c>
      <c r="N12" s="31">
        <v>167.80099999999999</v>
      </c>
      <c r="O12" s="31">
        <v>167.21600000000001</v>
      </c>
      <c r="P12" s="32">
        <v>175.56100000000001</v>
      </c>
      <c r="Q12" s="31">
        <v>197.97200000000001</v>
      </c>
      <c r="R12" s="31">
        <v>196.63399999999999</v>
      </c>
      <c r="S12" s="31">
        <v>186.851</v>
      </c>
      <c r="T12" s="31">
        <v>197.233</v>
      </c>
      <c r="U12" s="31">
        <v>192.71899999999999</v>
      </c>
      <c r="V12" s="31">
        <v>186.57599999999999</v>
      </c>
      <c r="W12" s="31">
        <v>193.42500000000001</v>
      </c>
    </row>
    <row r="13" spans="2:23" ht="16.5" customHeight="1" x14ac:dyDescent="0.3">
      <c r="B13" s="26" t="s">
        <v>5</v>
      </c>
      <c r="C13" s="33">
        <v>229.84700000000001</v>
      </c>
      <c r="D13" s="33">
        <v>225.679</v>
      </c>
      <c r="E13" s="33">
        <v>221.00899999999999</v>
      </c>
      <c r="F13" s="33">
        <v>223.97900000000001</v>
      </c>
      <c r="G13" s="33">
        <v>233.29300000000001</v>
      </c>
      <c r="H13" s="33">
        <v>240.374</v>
      </c>
      <c r="I13" s="34">
        <v>242.69499999999999</v>
      </c>
      <c r="J13" s="33">
        <v>105.593</v>
      </c>
      <c r="K13" s="33">
        <v>105.176</v>
      </c>
      <c r="L13" s="33">
        <v>100.47799999999999</v>
      </c>
      <c r="M13" s="33">
        <v>100.809</v>
      </c>
      <c r="N13" s="33">
        <v>103.714</v>
      </c>
      <c r="O13" s="33">
        <v>108.646</v>
      </c>
      <c r="P13" s="34">
        <v>111.453</v>
      </c>
      <c r="Q13" s="33">
        <v>124.254</v>
      </c>
      <c r="R13" s="33">
        <v>120.503</v>
      </c>
      <c r="S13" s="33">
        <v>120.53100000000001</v>
      </c>
      <c r="T13" s="33">
        <v>123.169</v>
      </c>
      <c r="U13" s="33">
        <v>129.57900000000001</v>
      </c>
      <c r="V13" s="33">
        <v>131.72800000000001</v>
      </c>
      <c r="W13" s="33">
        <v>131.24100000000001</v>
      </c>
    </row>
    <row r="14" spans="2:23" ht="16.5" customHeight="1" x14ac:dyDescent="0.3">
      <c r="B14" s="26" t="s">
        <v>6</v>
      </c>
      <c r="C14" s="33">
        <v>645.702</v>
      </c>
      <c r="D14" s="33">
        <v>664.85900000000004</v>
      </c>
      <c r="E14" s="33">
        <v>646.70000000000005</v>
      </c>
      <c r="F14" s="33">
        <v>656.68799999999999</v>
      </c>
      <c r="G14" s="33">
        <v>661.28700000000003</v>
      </c>
      <c r="H14" s="33">
        <v>656.61900000000003</v>
      </c>
      <c r="I14" s="34">
        <v>683.91</v>
      </c>
      <c r="J14" s="33">
        <v>302.041</v>
      </c>
      <c r="K14" s="33">
        <v>316.58800000000002</v>
      </c>
      <c r="L14" s="33">
        <v>307.31</v>
      </c>
      <c r="M14" s="33">
        <v>305.709</v>
      </c>
      <c r="N14" s="33">
        <v>305.08499999999998</v>
      </c>
      <c r="O14" s="33">
        <v>308.98200000000003</v>
      </c>
      <c r="P14" s="34">
        <v>328.18599999999998</v>
      </c>
      <c r="Q14" s="33">
        <v>343.661</v>
      </c>
      <c r="R14" s="33">
        <v>348.27100000000002</v>
      </c>
      <c r="S14" s="33">
        <v>339.39</v>
      </c>
      <c r="T14" s="33">
        <v>350.97899999999998</v>
      </c>
      <c r="U14" s="33">
        <v>356.202</v>
      </c>
      <c r="V14" s="33">
        <v>347.637</v>
      </c>
      <c r="W14" s="33">
        <v>355.72399999999999</v>
      </c>
    </row>
    <row r="15" spans="2:23" ht="16.5" customHeight="1" x14ac:dyDescent="0.3">
      <c r="B15" s="26" t="s">
        <v>20</v>
      </c>
      <c r="C15" s="33">
        <v>108.236</v>
      </c>
      <c r="D15" s="33">
        <v>116.15600000000001</v>
      </c>
      <c r="E15" s="33">
        <v>109.624</v>
      </c>
      <c r="F15" s="33">
        <v>112.919</v>
      </c>
      <c r="G15" s="33">
        <v>115.54300000000001</v>
      </c>
      <c r="H15" s="33">
        <v>123.736</v>
      </c>
      <c r="I15" s="34">
        <v>112.483</v>
      </c>
      <c r="J15" s="33">
        <v>51.094999999999999</v>
      </c>
      <c r="K15" s="33">
        <v>56.985999999999997</v>
      </c>
      <c r="L15" s="33">
        <v>48.695999999999998</v>
      </c>
      <c r="M15" s="33">
        <v>52.27</v>
      </c>
      <c r="N15" s="33">
        <v>51.601999999999997</v>
      </c>
      <c r="O15" s="33">
        <v>57.62</v>
      </c>
      <c r="P15" s="34">
        <v>53.182000000000002</v>
      </c>
      <c r="Q15" s="33">
        <v>57.140999999999998</v>
      </c>
      <c r="R15" s="33">
        <v>59.17</v>
      </c>
      <c r="S15" s="33">
        <v>60.927999999999997</v>
      </c>
      <c r="T15" s="33">
        <v>60.649000000000001</v>
      </c>
      <c r="U15" s="33">
        <v>63.941000000000003</v>
      </c>
      <c r="V15" s="33">
        <v>66.116</v>
      </c>
      <c r="W15" s="33">
        <v>59.301000000000002</v>
      </c>
    </row>
    <row r="16" spans="2:23" ht="16.5" customHeight="1" x14ac:dyDescent="0.3">
      <c r="B16" s="26" t="s">
        <v>21</v>
      </c>
      <c r="C16" s="33">
        <v>110.533</v>
      </c>
      <c r="D16" s="33">
        <v>109.124</v>
      </c>
      <c r="E16" s="33">
        <v>101.16200000000001</v>
      </c>
      <c r="F16" s="33">
        <v>98.106999999999999</v>
      </c>
      <c r="G16" s="33">
        <v>114.29300000000001</v>
      </c>
      <c r="H16" s="33">
        <v>113.497</v>
      </c>
      <c r="I16" s="34">
        <v>107.431</v>
      </c>
      <c r="J16" s="33">
        <v>48.953000000000003</v>
      </c>
      <c r="K16" s="33">
        <v>47.228999999999999</v>
      </c>
      <c r="L16" s="33">
        <v>43.792999999999999</v>
      </c>
      <c r="M16" s="33">
        <v>43.381999999999998</v>
      </c>
      <c r="N16" s="33">
        <v>53.517000000000003</v>
      </c>
      <c r="O16" s="33">
        <v>51.444000000000003</v>
      </c>
      <c r="P16" s="34">
        <v>42.889000000000003</v>
      </c>
      <c r="Q16" s="33">
        <v>61.58</v>
      </c>
      <c r="R16" s="33">
        <v>61.896000000000001</v>
      </c>
      <c r="S16" s="33">
        <v>57.369</v>
      </c>
      <c r="T16" s="33">
        <v>54.725000000000001</v>
      </c>
      <c r="U16" s="33">
        <v>60.777000000000001</v>
      </c>
      <c r="V16" s="33">
        <v>62.052999999999997</v>
      </c>
      <c r="W16" s="33">
        <v>64.542000000000002</v>
      </c>
    </row>
    <row r="17" spans="2:23" ht="16.5" customHeight="1" x14ac:dyDescent="0.3">
      <c r="B17" s="26" t="s">
        <v>7</v>
      </c>
      <c r="C17" s="33">
        <v>185.32300000000001</v>
      </c>
      <c r="D17" s="33">
        <v>189.86699999999999</v>
      </c>
      <c r="E17" s="33">
        <v>182.87700000000001</v>
      </c>
      <c r="F17" s="33">
        <v>183.07499999999999</v>
      </c>
      <c r="G17" s="33">
        <v>185.803</v>
      </c>
      <c r="H17" s="33">
        <v>181.65199999999999</v>
      </c>
      <c r="I17" s="34">
        <v>182.43899999999999</v>
      </c>
      <c r="J17" s="33">
        <v>89.144000000000005</v>
      </c>
      <c r="K17" s="33">
        <v>93.626999999999995</v>
      </c>
      <c r="L17" s="33">
        <v>87.504000000000005</v>
      </c>
      <c r="M17" s="33">
        <v>87.122</v>
      </c>
      <c r="N17" s="33">
        <v>87.33</v>
      </c>
      <c r="O17" s="33">
        <v>88.372</v>
      </c>
      <c r="P17" s="34">
        <v>84.947000000000003</v>
      </c>
      <c r="Q17" s="33">
        <v>96.179000000000002</v>
      </c>
      <c r="R17" s="33">
        <v>96.24</v>
      </c>
      <c r="S17" s="33">
        <v>95.373000000000005</v>
      </c>
      <c r="T17" s="33">
        <v>95.953000000000003</v>
      </c>
      <c r="U17" s="33">
        <v>98.472999999999999</v>
      </c>
      <c r="V17" s="33">
        <v>93.28</v>
      </c>
      <c r="W17" s="33">
        <v>97.492000000000004</v>
      </c>
    </row>
    <row r="18" spans="2:23" ht="16.5" customHeight="1" x14ac:dyDescent="0.3">
      <c r="B18" s="26" t="s">
        <v>22</v>
      </c>
      <c r="C18" s="33">
        <v>170.82400000000001</v>
      </c>
      <c r="D18" s="33">
        <v>170.24799999999999</v>
      </c>
      <c r="E18" s="33">
        <v>154.161</v>
      </c>
      <c r="F18" s="33">
        <v>157.85900000000001</v>
      </c>
      <c r="G18" s="33">
        <v>170.25200000000001</v>
      </c>
      <c r="H18" s="33">
        <v>166.32599999999999</v>
      </c>
      <c r="I18" s="34">
        <v>172.07400000000001</v>
      </c>
      <c r="J18" s="33">
        <v>85.481999999999999</v>
      </c>
      <c r="K18" s="33">
        <v>83.953999999999994</v>
      </c>
      <c r="L18" s="33">
        <v>72.629000000000005</v>
      </c>
      <c r="M18" s="33">
        <v>77.537999999999997</v>
      </c>
      <c r="N18" s="33">
        <v>85.403999999999996</v>
      </c>
      <c r="O18" s="33">
        <v>80.242000000000004</v>
      </c>
      <c r="P18" s="34">
        <v>80.183000000000007</v>
      </c>
      <c r="Q18" s="33">
        <v>85.341999999999999</v>
      </c>
      <c r="R18" s="33">
        <v>86.293999999999997</v>
      </c>
      <c r="S18" s="33">
        <v>81.531999999999996</v>
      </c>
      <c r="T18" s="33">
        <v>80.320999999999998</v>
      </c>
      <c r="U18" s="33">
        <v>84.847999999999999</v>
      </c>
      <c r="V18" s="33">
        <v>86.084000000000003</v>
      </c>
      <c r="W18" s="33">
        <v>91.891000000000005</v>
      </c>
    </row>
    <row r="19" spans="2:23" ht="16.5" customHeight="1" x14ac:dyDescent="0.3">
      <c r="B19" s="26" t="s">
        <v>8</v>
      </c>
      <c r="C19" s="33">
        <v>1219.0630000000001</v>
      </c>
      <c r="D19" s="33">
        <v>1222.1969999999999</v>
      </c>
      <c r="E19" s="33">
        <v>1178.117</v>
      </c>
      <c r="F19" s="33">
        <v>1169.6849999999999</v>
      </c>
      <c r="G19" s="33">
        <v>1181.578</v>
      </c>
      <c r="H19" s="33">
        <v>1221.9069999999999</v>
      </c>
      <c r="I19" s="34">
        <v>1245.864</v>
      </c>
      <c r="J19" s="33">
        <v>575.36</v>
      </c>
      <c r="K19" s="33">
        <v>577.26800000000003</v>
      </c>
      <c r="L19" s="33">
        <v>547.05600000000004</v>
      </c>
      <c r="M19" s="33">
        <v>553.28399999999999</v>
      </c>
      <c r="N19" s="33">
        <v>561.25</v>
      </c>
      <c r="O19" s="33">
        <v>570.64599999999996</v>
      </c>
      <c r="P19" s="34">
        <v>583.476</v>
      </c>
      <c r="Q19" s="33">
        <v>643.70299999999997</v>
      </c>
      <c r="R19" s="33">
        <v>644.92899999999997</v>
      </c>
      <c r="S19" s="33">
        <v>631.06100000000004</v>
      </c>
      <c r="T19" s="33">
        <v>616.40099999999995</v>
      </c>
      <c r="U19" s="33">
        <v>620.327</v>
      </c>
      <c r="V19" s="33">
        <v>651.26099999999997</v>
      </c>
      <c r="W19" s="33">
        <v>662.38800000000003</v>
      </c>
    </row>
    <row r="20" spans="2:23" ht="16.5" customHeight="1" x14ac:dyDescent="0.3">
      <c r="B20" s="26" t="s">
        <v>9</v>
      </c>
      <c r="C20" s="33">
        <v>256.036</v>
      </c>
      <c r="D20" s="33">
        <v>253.70400000000001</v>
      </c>
      <c r="E20" s="33">
        <v>246.52199999999999</v>
      </c>
      <c r="F20" s="33">
        <v>237.25700000000001</v>
      </c>
      <c r="G20" s="33">
        <v>240.869</v>
      </c>
      <c r="H20" s="33">
        <v>254.511</v>
      </c>
      <c r="I20" s="34">
        <v>257.26</v>
      </c>
      <c r="J20" s="33">
        <v>96.603999999999999</v>
      </c>
      <c r="K20" s="33">
        <v>100.017</v>
      </c>
      <c r="L20" s="33">
        <v>93.078999999999994</v>
      </c>
      <c r="M20" s="33">
        <v>87.236000000000004</v>
      </c>
      <c r="N20" s="33">
        <v>89.29</v>
      </c>
      <c r="O20" s="33">
        <v>92.738</v>
      </c>
      <c r="P20" s="34">
        <v>94.804000000000002</v>
      </c>
      <c r="Q20" s="33">
        <v>159.43100000000001</v>
      </c>
      <c r="R20" s="33">
        <v>153.68700000000001</v>
      </c>
      <c r="S20" s="33">
        <v>153.44300000000001</v>
      </c>
      <c r="T20" s="33">
        <v>150.02099999999999</v>
      </c>
      <c r="U20" s="33">
        <v>151.57900000000001</v>
      </c>
      <c r="V20" s="33">
        <v>161.773</v>
      </c>
      <c r="W20" s="33">
        <v>162.45500000000001</v>
      </c>
    </row>
    <row r="21" spans="2:23" ht="16.5" customHeight="1" x14ac:dyDescent="0.3">
      <c r="B21" s="26" t="s">
        <v>23</v>
      </c>
      <c r="C21" s="33">
        <v>104.666</v>
      </c>
      <c r="D21" s="33">
        <v>111.18899999999999</v>
      </c>
      <c r="E21" s="33">
        <v>108.93600000000001</v>
      </c>
      <c r="F21" s="33">
        <v>107.66800000000001</v>
      </c>
      <c r="G21" s="33">
        <v>112.49</v>
      </c>
      <c r="H21" s="33">
        <v>118.07299999999999</v>
      </c>
      <c r="I21" s="34">
        <v>121.524</v>
      </c>
      <c r="J21" s="33">
        <v>44.619</v>
      </c>
      <c r="K21" s="33">
        <v>45.576999999999998</v>
      </c>
      <c r="L21" s="33">
        <v>45.325000000000003</v>
      </c>
      <c r="M21" s="33">
        <v>44.929000000000002</v>
      </c>
      <c r="N21" s="33">
        <v>44.58</v>
      </c>
      <c r="O21" s="33">
        <v>47.009</v>
      </c>
      <c r="P21" s="34">
        <v>48.945</v>
      </c>
      <c r="Q21" s="33">
        <v>60.046999999999997</v>
      </c>
      <c r="R21" s="33">
        <v>65.611999999999995</v>
      </c>
      <c r="S21" s="33">
        <v>63.610999999999997</v>
      </c>
      <c r="T21" s="33">
        <v>62.738999999999997</v>
      </c>
      <c r="U21" s="33">
        <v>67.909000000000006</v>
      </c>
      <c r="V21" s="33">
        <v>71.063999999999993</v>
      </c>
      <c r="W21" s="33">
        <v>72.578999999999994</v>
      </c>
    </row>
    <row r="22" spans="2:23" ht="16.5" customHeight="1" x14ac:dyDescent="0.3">
      <c r="B22" s="26" t="s">
        <v>24</v>
      </c>
      <c r="C22" s="33">
        <v>181.864</v>
      </c>
      <c r="D22" s="33">
        <v>181.10400000000001</v>
      </c>
      <c r="E22" s="33">
        <v>176.30099999999999</v>
      </c>
      <c r="F22" s="33">
        <v>179.78100000000001</v>
      </c>
      <c r="G22" s="33">
        <v>177.952</v>
      </c>
      <c r="H22" s="33">
        <v>183.28399999999999</v>
      </c>
      <c r="I22" s="34">
        <v>196.15899999999999</v>
      </c>
      <c r="J22" s="33">
        <v>72.870999999999995</v>
      </c>
      <c r="K22" s="33">
        <v>71.298000000000002</v>
      </c>
      <c r="L22" s="33">
        <v>69.902000000000001</v>
      </c>
      <c r="M22" s="33">
        <v>73.576999999999998</v>
      </c>
      <c r="N22" s="33">
        <v>73.433999999999997</v>
      </c>
      <c r="O22" s="33">
        <v>77.22</v>
      </c>
      <c r="P22" s="34">
        <v>84.668999999999997</v>
      </c>
      <c r="Q22" s="33">
        <v>108.99299999999999</v>
      </c>
      <c r="R22" s="33">
        <v>109.806</v>
      </c>
      <c r="S22" s="33">
        <v>106.398</v>
      </c>
      <c r="T22" s="33">
        <v>106.20399999999999</v>
      </c>
      <c r="U22" s="33">
        <v>104.518</v>
      </c>
      <c r="V22" s="33">
        <v>106.06399999999999</v>
      </c>
      <c r="W22" s="33">
        <v>111.489</v>
      </c>
    </row>
    <row r="23" spans="2:23" ht="16.5" customHeight="1" x14ac:dyDescent="0.3">
      <c r="B23" s="26" t="s">
        <v>25</v>
      </c>
      <c r="C23" s="33">
        <v>57.871000000000002</v>
      </c>
      <c r="D23" s="33">
        <v>52.34</v>
      </c>
      <c r="E23" s="33">
        <v>52.25</v>
      </c>
      <c r="F23" s="33">
        <v>50.92</v>
      </c>
      <c r="G23" s="33">
        <v>55.668999999999997</v>
      </c>
      <c r="H23" s="33">
        <v>54.677</v>
      </c>
      <c r="I23" s="34">
        <v>54.152000000000001</v>
      </c>
      <c r="J23" s="33">
        <v>20.335000000000001</v>
      </c>
      <c r="K23" s="33">
        <v>20.484000000000002</v>
      </c>
      <c r="L23" s="33">
        <v>18.649999999999999</v>
      </c>
      <c r="M23" s="33">
        <v>18.065000000000001</v>
      </c>
      <c r="N23" s="33">
        <v>20.431999999999999</v>
      </c>
      <c r="O23" s="33">
        <v>21.271999999999998</v>
      </c>
      <c r="P23" s="34">
        <v>20.603000000000002</v>
      </c>
      <c r="Q23" s="33">
        <v>37.536000000000001</v>
      </c>
      <c r="R23" s="33">
        <v>31.856999999999999</v>
      </c>
      <c r="S23" s="33">
        <v>33.6</v>
      </c>
      <c r="T23" s="33">
        <v>32.854999999999997</v>
      </c>
      <c r="U23" s="33">
        <v>35.237000000000002</v>
      </c>
      <c r="V23" s="33">
        <v>33.405000000000001</v>
      </c>
      <c r="W23" s="33">
        <v>33.548999999999999</v>
      </c>
    </row>
    <row r="24" spans="2:23" ht="16.5" customHeight="1" x14ac:dyDescent="0.3">
      <c r="B24" s="35" t="s">
        <v>26</v>
      </c>
      <c r="C24" s="36">
        <v>80.326999999999998</v>
      </c>
      <c r="D24" s="36">
        <v>85.090999999999994</v>
      </c>
      <c r="E24" s="36">
        <v>74.668999999999997</v>
      </c>
      <c r="F24" s="36">
        <v>75.677999999999997</v>
      </c>
      <c r="G24" s="36">
        <v>79.908000000000001</v>
      </c>
      <c r="H24" s="36">
        <v>92.46</v>
      </c>
      <c r="I24" s="37">
        <v>99.822000000000003</v>
      </c>
      <c r="J24" s="36">
        <v>32.249000000000002</v>
      </c>
      <c r="K24" s="36">
        <v>33.753</v>
      </c>
      <c r="L24" s="36">
        <v>28.544</v>
      </c>
      <c r="M24" s="36">
        <v>30.106000000000002</v>
      </c>
      <c r="N24" s="36">
        <v>30.864999999999998</v>
      </c>
      <c r="O24" s="36">
        <v>35.944000000000003</v>
      </c>
      <c r="P24" s="37">
        <v>38.979999999999997</v>
      </c>
      <c r="Q24" s="36">
        <v>48.078000000000003</v>
      </c>
      <c r="R24" s="36">
        <v>51.338999999999999</v>
      </c>
      <c r="S24" s="36">
        <v>46.125</v>
      </c>
      <c r="T24" s="36">
        <v>45.572000000000003</v>
      </c>
      <c r="U24" s="36">
        <v>49.042000000000002</v>
      </c>
      <c r="V24" s="36">
        <v>56.515999999999998</v>
      </c>
      <c r="W24" s="36">
        <v>60.841999999999999</v>
      </c>
    </row>
    <row r="25" spans="2:23" ht="16.5" customHeight="1" x14ac:dyDescent="0.3">
      <c r="B25" s="38" t="s">
        <v>40</v>
      </c>
      <c r="C25" s="39">
        <v>935.40300000000002</v>
      </c>
      <c r="D25" s="39">
        <v>928.48</v>
      </c>
      <c r="E25" s="39">
        <v>888.44200000000001</v>
      </c>
      <c r="F25" s="39">
        <v>899.08600000000001</v>
      </c>
      <c r="G25" s="39">
        <v>905.30600000000004</v>
      </c>
      <c r="H25" s="39">
        <v>911.03800000000001</v>
      </c>
      <c r="I25" s="40">
        <v>959.476</v>
      </c>
      <c r="J25" s="39">
        <v>424.80900000000003</v>
      </c>
      <c r="K25" s="39">
        <v>421.68599999999998</v>
      </c>
      <c r="L25" s="39">
        <v>403.08499999999998</v>
      </c>
      <c r="M25" s="39">
        <v>398.00700000000001</v>
      </c>
      <c r="N25" s="39">
        <v>407.58600000000001</v>
      </c>
      <c r="O25" s="39">
        <v>412.81099999999998</v>
      </c>
      <c r="P25" s="40">
        <v>437.64499999999998</v>
      </c>
      <c r="Q25" s="39">
        <v>510.59500000000003</v>
      </c>
      <c r="R25" s="39">
        <v>506.79399999999998</v>
      </c>
      <c r="S25" s="39">
        <v>485.35700000000003</v>
      </c>
      <c r="T25" s="39">
        <v>501.07900000000001</v>
      </c>
      <c r="U25" s="39">
        <v>497.71899999999999</v>
      </c>
      <c r="V25" s="39">
        <v>498.22699999999998</v>
      </c>
      <c r="W25" s="39">
        <v>521.83100000000002</v>
      </c>
    </row>
    <row r="26" spans="2:23" ht="16.5" customHeight="1" x14ac:dyDescent="0.3">
      <c r="B26" s="38" t="s">
        <v>11</v>
      </c>
      <c r="C26" s="39">
        <v>1815.5450000000001</v>
      </c>
      <c r="D26" s="39">
        <v>1812.5360000000001</v>
      </c>
      <c r="E26" s="39">
        <v>1748.1690000000001</v>
      </c>
      <c r="F26" s="39">
        <v>1767.3</v>
      </c>
      <c r="G26" s="39">
        <v>1785.319</v>
      </c>
      <c r="H26" s="39">
        <v>1800.8620000000001</v>
      </c>
      <c r="I26" s="40">
        <v>1854.204</v>
      </c>
      <c r="J26" s="39">
        <v>804.02</v>
      </c>
      <c r="K26" s="39">
        <v>803.71699999999998</v>
      </c>
      <c r="L26" s="39">
        <v>777.47799999999995</v>
      </c>
      <c r="M26" s="39">
        <v>782.82299999999998</v>
      </c>
      <c r="N26" s="39">
        <v>797.06200000000001</v>
      </c>
      <c r="O26" s="39">
        <v>798.529</v>
      </c>
      <c r="P26" s="40">
        <v>828.92499999999995</v>
      </c>
      <c r="Q26" s="39">
        <v>1011.526</v>
      </c>
      <c r="R26" s="39">
        <v>1008.818</v>
      </c>
      <c r="S26" s="39">
        <v>970.69</v>
      </c>
      <c r="T26" s="39">
        <v>984.47699999999998</v>
      </c>
      <c r="U26" s="39">
        <v>988.25599999999997</v>
      </c>
      <c r="V26" s="39">
        <v>1002.332</v>
      </c>
      <c r="W26" s="39">
        <v>1025.279</v>
      </c>
    </row>
    <row r="27" spans="2:23" ht="16.5" customHeight="1" x14ac:dyDescent="0.3">
      <c r="B27" s="26" t="s">
        <v>12</v>
      </c>
      <c r="C27" s="33">
        <v>11988.839</v>
      </c>
      <c r="D27" s="33">
        <v>12108.503000000001</v>
      </c>
      <c r="E27" s="33">
        <v>11729.981</v>
      </c>
      <c r="F27" s="33">
        <v>11803.504999999999</v>
      </c>
      <c r="G27" s="33">
        <v>12054.465</v>
      </c>
      <c r="H27" s="33">
        <v>12267.932000000001</v>
      </c>
      <c r="I27" s="34">
        <v>12384.516</v>
      </c>
      <c r="J27" s="33">
        <v>5262.9350000000004</v>
      </c>
      <c r="K27" s="33">
        <v>5324.9350000000004</v>
      </c>
      <c r="L27" s="33">
        <v>5140.5860000000002</v>
      </c>
      <c r="M27" s="33">
        <v>5200.3850000000002</v>
      </c>
      <c r="N27" s="33">
        <v>5304.4250000000002</v>
      </c>
      <c r="O27" s="33">
        <v>5430.1120000000001</v>
      </c>
      <c r="P27" s="34">
        <v>5483.0230000000001</v>
      </c>
      <c r="Q27" s="33">
        <v>6725.9040000000005</v>
      </c>
      <c r="R27" s="33">
        <v>6783.567</v>
      </c>
      <c r="S27" s="33">
        <v>6589.3950000000004</v>
      </c>
      <c r="T27" s="33">
        <v>6603.12</v>
      </c>
      <c r="U27" s="33">
        <v>6750.04</v>
      </c>
      <c r="V27" s="33">
        <v>6837.82</v>
      </c>
      <c r="W27" s="33">
        <v>6901.4939999999997</v>
      </c>
    </row>
    <row r="28" spans="2:23" ht="16.5" customHeight="1" x14ac:dyDescent="0.3">
      <c r="B28" s="26" t="s">
        <v>13</v>
      </c>
      <c r="C28" s="33">
        <v>4884.7910000000002</v>
      </c>
      <c r="D28" s="33">
        <v>4908.3609999999999</v>
      </c>
      <c r="E28" s="33">
        <v>4763.4340000000002</v>
      </c>
      <c r="F28" s="33">
        <v>4782.84</v>
      </c>
      <c r="G28" s="33">
        <v>4930.1540000000005</v>
      </c>
      <c r="H28" s="33">
        <v>5006.1440000000002</v>
      </c>
      <c r="I28" s="34">
        <v>5100.3599999999997</v>
      </c>
      <c r="J28" s="33">
        <v>2164.3809999999999</v>
      </c>
      <c r="K28" s="33">
        <v>2186.1610000000001</v>
      </c>
      <c r="L28" s="33">
        <v>2098.8470000000002</v>
      </c>
      <c r="M28" s="33">
        <v>2108.7930000000001</v>
      </c>
      <c r="N28" s="33">
        <v>2191.0079999999998</v>
      </c>
      <c r="O28" s="33">
        <v>2210.384</v>
      </c>
      <c r="P28" s="34">
        <v>2259.6170000000002</v>
      </c>
      <c r="Q28" s="33">
        <v>2720.4110000000001</v>
      </c>
      <c r="R28" s="33">
        <v>2722.2</v>
      </c>
      <c r="S28" s="33">
        <v>2664.587</v>
      </c>
      <c r="T28" s="33">
        <v>2674.047</v>
      </c>
      <c r="U28" s="33">
        <v>2739.1460000000002</v>
      </c>
      <c r="V28" s="33">
        <v>2795.76</v>
      </c>
      <c r="W28" s="33">
        <v>2840.7429999999999</v>
      </c>
    </row>
    <row r="29" spans="2:23" ht="16.5" customHeight="1" x14ac:dyDescent="0.3">
      <c r="B29" s="35" t="s">
        <v>19</v>
      </c>
      <c r="C29" s="36">
        <v>6085.1</v>
      </c>
      <c r="D29" s="36">
        <v>6092.5410000000002</v>
      </c>
      <c r="E29" s="36">
        <v>5891.8419999999996</v>
      </c>
      <c r="F29" s="36">
        <v>5967.6109999999999</v>
      </c>
      <c r="G29" s="36">
        <v>6114.77</v>
      </c>
      <c r="H29" s="36">
        <v>6305.87</v>
      </c>
      <c r="I29" s="37">
        <v>6447.3869999999997</v>
      </c>
      <c r="J29" s="36">
        <v>2249.1860000000001</v>
      </c>
      <c r="K29" s="36">
        <v>2262.6709999999998</v>
      </c>
      <c r="L29" s="36">
        <v>2158.4110000000001</v>
      </c>
      <c r="M29" s="36">
        <v>2201.174</v>
      </c>
      <c r="N29" s="36">
        <v>2253.7649999999999</v>
      </c>
      <c r="O29" s="36">
        <v>2348.0590000000002</v>
      </c>
      <c r="P29" s="37">
        <v>2424.8780000000002</v>
      </c>
      <c r="Q29" s="36">
        <v>3835.9140000000002</v>
      </c>
      <c r="R29" s="36">
        <v>3829.87</v>
      </c>
      <c r="S29" s="36">
        <v>3733.431</v>
      </c>
      <c r="T29" s="36">
        <v>3766.4360000000001</v>
      </c>
      <c r="U29" s="36">
        <v>3861.0050000000001</v>
      </c>
      <c r="V29" s="36">
        <v>3957.8110000000001</v>
      </c>
      <c r="W29" s="36">
        <v>4022.509</v>
      </c>
    </row>
    <row r="30" spans="2:23" ht="16.5" customHeight="1" x14ac:dyDescent="0.3">
      <c r="B30" s="28" t="s">
        <v>14</v>
      </c>
      <c r="C30" s="41">
        <v>22958.73</v>
      </c>
      <c r="D30" s="41">
        <v>23109.404999999999</v>
      </c>
      <c r="E30" s="41">
        <v>22385.257000000001</v>
      </c>
      <c r="F30" s="41">
        <v>22553.955000000002</v>
      </c>
      <c r="G30" s="41">
        <v>23099.388999999999</v>
      </c>
      <c r="H30" s="41">
        <v>23579.947</v>
      </c>
      <c r="I30" s="42">
        <v>23932.263999999999</v>
      </c>
      <c r="J30" s="41">
        <v>9676.5020000000004</v>
      </c>
      <c r="K30" s="41">
        <v>9773.7669999999998</v>
      </c>
      <c r="L30" s="41">
        <v>9397.8439999999991</v>
      </c>
      <c r="M30" s="41">
        <v>9510.3520000000008</v>
      </c>
      <c r="N30" s="41">
        <v>9749.1980000000003</v>
      </c>
      <c r="O30" s="41">
        <v>9988.5550000000003</v>
      </c>
      <c r="P30" s="42">
        <v>10167.518</v>
      </c>
      <c r="Q30" s="41">
        <v>13282.228999999999</v>
      </c>
      <c r="R30" s="41">
        <v>13335.637000000001</v>
      </c>
      <c r="S30" s="41">
        <v>12987.414000000001</v>
      </c>
      <c r="T30" s="41">
        <v>13043.603999999999</v>
      </c>
      <c r="U30" s="41">
        <v>13350.191000000001</v>
      </c>
      <c r="V30" s="41">
        <v>13591.392</v>
      </c>
      <c r="W30" s="41">
        <v>13764.745999999999</v>
      </c>
    </row>
    <row r="32" spans="2:23" ht="16.5" customHeight="1" x14ac:dyDescent="0.3">
      <c r="B32" s="80" t="s">
        <v>27</v>
      </c>
      <c r="C32" s="80"/>
      <c r="D32" s="80"/>
      <c r="E32" s="80"/>
      <c r="F32" s="80"/>
      <c r="G32" s="80"/>
      <c r="H32" s="80"/>
      <c r="I32" s="80"/>
      <c r="J32" s="80"/>
      <c r="K32" s="80"/>
      <c r="L32" s="80"/>
      <c r="M32" s="80"/>
      <c r="N32" s="80"/>
      <c r="O32" s="80"/>
      <c r="P32" s="80"/>
      <c r="Q32" s="80"/>
      <c r="R32" s="80"/>
      <c r="S32" s="80"/>
      <c r="T32" s="80"/>
      <c r="U32" s="80"/>
      <c r="V32" s="80"/>
      <c r="W32" s="80"/>
    </row>
    <row r="33" spans="2:23" ht="16.5" customHeight="1" x14ac:dyDescent="0.3">
      <c r="B33" s="85" t="s">
        <v>16</v>
      </c>
      <c r="C33" s="80" t="s">
        <v>15</v>
      </c>
      <c r="D33" s="80"/>
      <c r="E33" s="80"/>
      <c r="F33" s="80"/>
      <c r="G33" s="80"/>
      <c r="H33" s="80"/>
      <c r="I33" s="80"/>
      <c r="J33" s="80" t="s">
        <v>17</v>
      </c>
      <c r="K33" s="80"/>
      <c r="L33" s="80"/>
      <c r="M33" s="80"/>
      <c r="N33" s="80"/>
      <c r="O33" s="80"/>
      <c r="P33" s="80"/>
      <c r="Q33" s="81" t="s">
        <v>18</v>
      </c>
      <c r="R33" s="80"/>
      <c r="S33" s="80"/>
      <c r="T33" s="80"/>
      <c r="U33" s="80"/>
      <c r="V33" s="80"/>
      <c r="W33" s="80"/>
    </row>
    <row r="34" spans="2:23" ht="16.5" customHeight="1" x14ac:dyDescent="0.3">
      <c r="B34" s="86"/>
      <c r="C34" s="7">
        <v>2018</v>
      </c>
      <c r="D34" s="7">
        <v>2019</v>
      </c>
      <c r="E34" s="7">
        <v>2020</v>
      </c>
      <c r="F34" s="7">
        <v>2021</v>
      </c>
      <c r="G34" s="7">
        <v>2022</v>
      </c>
      <c r="H34" s="7">
        <v>2023</v>
      </c>
      <c r="I34" s="10">
        <v>2024</v>
      </c>
      <c r="J34" s="7">
        <v>2018</v>
      </c>
      <c r="K34" s="7">
        <v>2019</v>
      </c>
      <c r="L34" s="7">
        <v>2020</v>
      </c>
      <c r="M34" s="7">
        <v>2021</v>
      </c>
      <c r="N34" s="7">
        <v>2022</v>
      </c>
      <c r="O34" s="7">
        <v>2023</v>
      </c>
      <c r="P34" s="10">
        <v>2024</v>
      </c>
      <c r="Q34" s="7">
        <v>2018</v>
      </c>
      <c r="R34" s="7">
        <v>2019</v>
      </c>
      <c r="S34" s="7">
        <v>2020</v>
      </c>
      <c r="T34" s="7">
        <v>2021</v>
      </c>
      <c r="U34" s="7">
        <v>2022</v>
      </c>
      <c r="V34" s="70">
        <v>2023</v>
      </c>
      <c r="W34" s="70">
        <v>2024</v>
      </c>
    </row>
    <row r="35" spans="2:23" ht="16.5" customHeight="1" x14ac:dyDescent="0.3">
      <c r="B35" s="30" t="s">
        <v>4</v>
      </c>
      <c r="C35" s="43">
        <v>67.768018999999995</v>
      </c>
      <c r="D35" s="43">
        <v>67.960609000000005</v>
      </c>
      <c r="E35" s="43">
        <v>64.519693000000004</v>
      </c>
      <c r="F35" s="43">
        <v>64.944618000000006</v>
      </c>
      <c r="G35" s="43">
        <v>66.720647999999997</v>
      </c>
      <c r="H35" s="43">
        <v>66.706500000000005</v>
      </c>
      <c r="I35" s="44">
        <v>68.353318999999999</v>
      </c>
      <c r="J35" s="43">
        <v>63.253157000000002</v>
      </c>
      <c r="K35" s="43">
        <v>63.923600999999998</v>
      </c>
      <c r="L35" s="43">
        <v>59.383636000000003</v>
      </c>
      <c r="M35" s="43">
        <v>57.215882000000001</v>
      </c>
      <c r="N35" s="43">
        <v>62.218145</v>
      </c>
      <c r="O35" s="43">
        <v>62.934179</v>
      </c>
      <c r="P35" s="44">
        <v>64.900807</v>
      </c>
      <c r="Q35" s="43">
        <v>72.407484999999994</v>
      </c>
      <c r="R35" s="43">
        <v>72.100745000000003</v>
      </c>
      <c r="S35" s="43">
        <v>69.781907000000004</v>
      </c>
      <c r="T35" s="43">
        <v>72.845541999999995</v>
      </c>
      <c r="U35" s="43">
        <v>71.298232999999996</v>
      </c>
      <c r="V35" s="43">
        <v>70.508213999999995</v>
      </c>
      <c r="W35" s="43">
        <v>71.822115999999994</v>
      </c>
    </row>
    <row r="36" spans="2:23" ht="16.5" customHeight="1" x14ac:dyDescent="0.3">
      <c r="B36" s="26" t="s">
        <v>5</v>
      </c>
      <c r="C36" s="45">
        <v>65.110845999999995</v>
      </c>
      <c r="D36" s="45">
        <v>63.847538</v>
      </c>
      <c r="E36" s="45">
        <v>63.195646000000004</v>
      </c>
      <c r="F36" s="45">
        <v>64.736789000000002</v>
      </c>
      <c r="G36" s="45">
        <v>66.994971000000007</v>
      </c>
      <c r="H36" s="45">
        <v>69.148369000000002</v>
      </c>
      <c r="I36" s="46">
        <v>69.468385999999995</v>
      </c>
      <c r="J36" s="45">
        <v>59.197401999999997</v>
      </c>
      <c r="K36" s="45">
        <v>58.841538999999997</v>
      </c>
      <c r="L36" s="45">
        <v>57.362091999999997</v>
      </c>
      <c r="M36" s="45">
        <v>57.845264</v>
      </c>
      <c r="N36" s="45">
        <v>59.340127000000003</v>
      </c>
      <c r="O36" s="45">
        <v>62.621893</v>
      </c>
      <c r="P36" s="46">
        <v>63.318482000000003</v>
      </c>
      <c r="Q36" s="45">
        <v>71.240799999999993</v>
      </c>
      <c r="R36" s="45">
        <v>69.030167000000006</v>
      </c>
      <c r="S36" s="45">
        <v>69.226097999999993</v>
      </c>
      <c r="T36" s="45">
        <v>71.742724999999993</v>
      </c>
      <c r="U36" s="45">
        <v>74.836235000000002</v>
      </c>
      <c r="V36" s="45">
        <v>75.773690999999999</v>
      </c>
      <c r="W36" s="45">
        <v>75.682141000000001</v>
      </c>
    </row>
    <row r="37" spans="2:23" ht="16.5" customHeight="1" x14ac:dyDescent="0.3">
      <c r="B37" s="26" t="s">
        <v>6</v>
      </c>
      <c r="C37" s="45">
        <v>71.245444000000006</v>
      </c>
      <c r="D37" s="45">
        <v>72.593888000000007</v>
      </c>
      <c r="E37" s="45">
        <v>69.356318000000002</v>
      </c>
      <c r="F37" s="45">
        <v>70.373283000000001</v>
      </c>
      <c r="G37" s="45">
        <v>72.363629000000003</v>
      </c>
      <c r="H37" s="45">
        <v>72.370339000000001</v>
      </c>
      <c r="I37" s="46">
        <v>73.853251</v>
      </c>
      <c r="J37" s="45">
        <v>66.951847999999998</v>
      </c>
      <c r="K37" s="45">
        <v>69.433914000000001</v>
      </c>
      <c r="L37" s="45">
        <v>66.540789000000004</v>
      </c>
      <c r="M37" s="45">
        <v>66.498434000000003</v>
      </c>
      <c r="N37" s="45">
        <v>67.280454000000006</v>
      </c>
      <c r="O37" s="45">
        <v>68.547578999999999</v>
      </c>
      <c r="P37" s="46">
        <v>71.877251000000001</v>
      </c>
      <c r="Q37" s="45">
        <v>75.565023999999994</v>
      </c>
      <c r="R37" s="45">
        <v>75.759853000000007</v>
      </c>
      <c r="S37" s="45">
        <v>72.174017000000006</v>
      </c>
      <c r="T37" s="45">
        <v>74.251481999999996</v>
      </c>
      <c r="U37" s="45">
        <v>77.441901999999999</v>
      </c>
      <c r="V37" s="45">
        <v>76.154990999999995</v>
      </c>
      <c r="W37" s="45">
        <v>75.802707999999996</v>
      </c>
    </row>
    <row r="38" spans="2:23" ht="16.5" customHeight="1" x14ac:dyDescent="0.3">
      <c r="B38" s="26" t="s">
        <v>20</v>
      </c>
      <c r="C38" s="45">
        <v>65.995189999999994</v>
      </c>
      <c r="D38" s="45">
        <v>71.262162000000004</v>
      </c>
      <c r="E38" s="45">
        <v>67.011394999999993</v>
      </c>
      <c r="F38" s="45">
        <v>68.030601000000004</v>
      </c>
      <c r="G38" s="45">
        <v>70.748940000000005</v>
      </c>
      <c r="H38" s="45">
        <v>75.819229000000007</v>
      </c>
      <c r="I38" s="46">
        <v>68.859761000000006</v>
      </c>
      <c r="J38" s="45">
        <v>61.351455999999999</v>
      </c>
      <c r="K38" s="45">
        <v>68.582648000000006</v>
      </c>
      <c r="L38" s="45">
        <v>58.536366999999998</v>
      </c>
      <c r="M38" s="45">
        <v>63.216245000000001</v>
      </c>
      <c r="N38" s="45">
        <v>62.880811000000001</v>
      </c>
      <c r="O38" s="45">
        <v>70.131754000000001</v>
      </c>
      <c r="P38" s="46">
        <v>66.226560000000006</v>
      </c>
      <c r="Q38" s="45">
        <v>70.819205999999994</v>
      </c>
      <c r="R38" s="45">
        <v>74.040875999999997</v>
      </c>
      <c r="S38" s="45">
        <v>75.810277999999997</v>
      </c>
      <c r="T38" s="45">
        <v>73.012831000000006</v>
      </c>
      <c r="U38" s="45">
        <v>78.923545000000004</v>
      </c>
      <c r="V38" s="45">
        <v>81.668833000000006</v>
      </c>
      <c r="W38" s="45">
        <v>71.431141999999994</v>
      </c>
    </row>
    <row r="39" spans="2:23" ht="16.5" customHeight="1" x14ac:dyDescent="0.3">
      <c r="B39" s="26" t="s">
        <v>21</v>
      </c>
      <c r="C39" s="45">
        <v>68.126037999999994</v>
      </c>
      <c r="D39" s="45">
        <v>67.373329999999996</v>
      </c>
      <c r="E39" s="45">
        <v>63.084716</v>
      </c>
      <c r="F39" s="45">
        <v>61.599218</v>
      </c>
      <c r="G39" s="45">
        <v>70.640020000000007</v>
      </c>
      <c r="H39" s="45">
        <v>71.768794999999997</v>
      </c>
      <c r="I39" s="46">
        <v>66.662780999999995</v>
      </c>
      <c r="J39" s="45">
        <v>60.866881999999997</v>
      </c>
      <c r="K39" s="45">
        <v>58.833668000000003</v>
      </c>
      <c r="L39" s="45">
        <v>54.196517999999998</v>
      </c>
      <c r="M39" s="45">
        <v>55.028596</v>
      </c>
      <c r="N39" s="45">
        <v>66.569040999999999</v>
      </c>
      <c r="O39" s="45">
        <v>65.555057000000005</v>
      </c>
      <c r="P39" s="46">
        <v>55.244518999999997</v>
      </c>
      <c r="Q39" s="45">
        <v>75.577107999999996</v>
      </c>
      <c r="R39" s="45">
        <v>76.077275</v>
      </c>
      <c r="S39" s="45">
        <v>72.115615000000005</v>
      </c>
      <c r="T39" s="45">
        <v>68.239925999999997</v>
      </c>
      <c r="U39" s="45">
        <v>74.686137000000002</v>
      </c>
      <c r="V39" s="45">
        <v>77.940128000000001</v>
      </c>
      <c r="W39" s="45">
        <v>77.402823999999995</v>
      </c>
    </row>
    <row r="40" spans="2:23" ht="16.5" customHeight="1" x14ac:dyDescent="0.3">
      <c r="B40" s="26" t="s">
        <v>7</v>
      </c>
      <c r="C40" s="45">
        <v>74.334524999999999</v>
      </c>
      <c r="D40" s="45">
        <v>74.684680999999998</v>
      </c>
      <c r="E40" s="45">
        <v>70.703813999999994</v>
      </c>
      <c r="F40" s="45">
        <v>70.324877000000001</v>
      </c>
      <c r="G40" s="45">
        <v>72.974401999999998</v>
      </c>
      <c r="H40" s="45">
        <v>72.845073999999997</v>
      </c>
      <c r="I40" s="46">
        <v>70.836467999999996</v>
      </c>
      <c r="J40" s="45">
        <v>70.295812999999995</v>
      </c>
      <c r="K40" s="45">
        <v>72.832503000000003</v>
      </c>
      <c r="L40" s="45">
        <v>66.945595999999995</v>
      </c>
      <c r="M40" s="45">
        <v>65.617247000000006</v>
      </c>
      <c r="N40" s="45">
        <v>68.052955999999995</v>
      </c>
      <c r="O40" s="45">
        <v>70.332159000000004</v>
      </c>
      <c r="P40" s="46">
        <v>64.679581999999996</v>
      </c>
      <c r="Q40" s="45">
        <v>78.568115000000006</v>
      </c>
      <c r="R40" s="45">
        <v>76.622141999999997</v>
      </c>
      <c r="S40" s="45">
        <v>74.622894000000002</v>
      </c>
      <c r="T40" s="45">
        <v>75.226979</v>
      </c>
      <c r="U40" s="45">
        <v>78.071393</v>
      </c>
      <c r="V40" s="45">
        <v>75.430013000000002</v>
      </c>
      <c r="W40" s="45">
        <v>77.164580999999998</v>
      </c>
    </row>
    <row r="41" spans="2:23" ht="16.5" customHeight="1" x14ac:dyDescent="0.3">
      <c r="B41" s="26" t="s">
        <v>22</v>
      </c>
      <c r="C41" s="45">
        <v>71.918627999999998</v>
      </c>
      <c r="D41" s="45">
        <v>72.316280000000006</v>
      </c>
      <c r="E41" s="45">
        <v>65.935039000000003</v>
      </c>
      <c r="F41" s="45">
        <v>67.364434000000003</v>
      </c>
      <c r="G41" s="45">
        <v>71.866898000000006</v>
      </c>
      <c r="H41" s="45">
        <v>71.880916999999997</v>
      </c>
      <c r="I41" s="46">
        <v>73.388129000000006</v>
      </c>
      <c r="J41" s="45">
        <v>70.209286000000006</v>
      </c>
      <c r="K41" s="45">
        <v>69.433542000000003</v>
      </c>
      <c r="L41" s="45">
        <v>60.967452999999999</v>
      </c>
      <c r="M41" s="45">
        <v>65.54871</v>
      </c>
      <c r="N41" s="45">
        <v>70.900093999999996</v>
      </c>
      <c r="O41" s="45">
        <v>68.163749999999993</v>
      </c>
      <c r="P41" s="46">
        <v>67.162432999999993</v>
      </c>
      <c r="Q41" s="45">
        <v>73.744449000000003</v>
      </c>
      <c r="R41" s="45">
        <v>75.398593000000005</v>
      </c>
      <c r="S41" s="45">
        <v>71.252841000000004</v>
      </c>
      <c r="T41" s="45">
        <v>69.304951000000003</v>
      </c>
      <c r="U41" s="45">
        <v>72.894959999999998</v>
      </c>
      <c r="V41" s="45">
        <v>75.788415000000001</v>
      </c>
      <c r="W41" s="45">
        <v>79.930372000000006</v>
      </c>
    </row>
    <row r="42" spans="2:23" ht="16.5" customHeight="1" x14ac:dyDescent="0.3">
      <c r="B42" s="26" t="s">
        <v>8</v>
      </c>
      <c r="C42" s="45">
        <v>66.043778000000003</v>
      </c>
      <c r="D42" s="45">
        <v>65.936068000000006</v>
      </c>
      <c r="E42" s="45">
        <v>63.717602999999997</v>
      </c>
      <c r="F42" s="45">
        <v>63.716645</v>
      </c>
      <c r="G42" s="45">
        <v>65.509726999999998</v>
      </c>
      <c r="H42" s="45">
        <v>67.730913999999999</v>
      </c>
      <c r="I42" s="46">
        <v>68.710348999999994</v>
      </c>
      <c r="J42" s="45">
        <v>61.206010999999997</v>
      </c>
      <c r="K42" s="45">
        <v>60.890996999999999</v>
      </c>
      <c r="L42" s="45">
        <v>57.841310999999997</v>
      </c>
      <c r="M42" s="45">
        <v>59.333765</v>
      </c>
      <c r="N42" s="45">
        <v>61.032521000000003</v>
      </c>
      <c r="O42" s="45">
        <v>62.243192999999998</v>
      </c>
      <c r="P42" s="46">
        <v>63.459729000000003</v>
      </c>
      <c r="Q42" s="45">
        <v>71.179222999999993</v>
      </c>
      <c r="R42" s="45">
        <v>71.287644999999998</v>
      </c>
      <c r="S42" s="45">
        <v>69.949813000000006</v>
      </c>
      <c r="T42" s="45">
        <v>68.361226000000002</v>
      </c>
      <c r="U42" s="45">
        <v>70.230680000000007</v>
      </c>
      <c r="V42" s="45">
        <v>73.477796999999995</v>
      </c>
      <c r="W42" s="45">
        <v>74.194273999999993</v>
      </c>
    </row>
    <row r="43" spans="2:23" ht="16.5" customHeight="1" x14ac:dyDescent="0.3">
      <c r="B43" s="26" t="s">
        <v>9</v>
      </c>
      <c r="C43" s="45">
        <v>39.231475000000003</v>
      </c>
      <c r="D43" s="45">
        <v>39.067470999999998</v>
      </c>
      <c r="E43" s="45">
        <v>38.169856000000003</v>
      </c>
      <c r="F43" s="45">
        <v>37.37086</v>
      </c>
      <c r="G43" s="45">
        <v>39.368096999999999</v>
      </c>
      <c r="H43" s="45">
        <v>41.256466000000003</v>
      </c>
      <c r="I43" s="46">
        <v>41.637887999999997</v>
      </c>
      <c r="J43" s="45">
        <v>29.127731000000001</v>
      </c>
      <c r="K43" s="45">
        <v>30.365411000000002</v>
      </c>
      <c r="L43" s="45">
        <v>28.246739999999999</v>
      </c>
      <c r="M43" s="45">
        <v>27.051946000000001</v>
      </c>
      <c r="N43" s="45">
        <v>28.658569</v>
      </c>
      <c r="O43" s="45">
        <v>29.707474999999999</v>
      </c>
      <c r="P43" s="46">
        <v>29.976723</v>
      </c>
      <c r="Q43" s="45">
        <v>49.806373999999998</v>
      </c>
      <c r="R43" s="45">
        <v>48.169186000000003</v>
      </c>
      <c r="S43" s="45">
        <v>48.537294000000003</v>
      </c>
      <c r="T43" s="45">
        <v>48.157009000000002</v>
      </c>
      <c r="U43" s="45">
        <v>50.574551</v>
      </c>
      <c r="V43" s="45">
        <v>53.208513000000004</v>
      </c>
      <c r="W43" s="45">
        <v>53.701388000000001</v>
      </c>
    </row>
    <row r="44" spans="2:23" ht="16.5" customHeight="1" x14ac:dyDescent="0.3">
      <c r="B44" s="26" t="s">
        <v>23</v>
      </c>
      <c r="C44" s="45">
        <v>49.748395000000002</v>
      </c>
      <c r="D44" s="45">
        <v>53.259531000000003</v>
      </c>
      <c r="E44" s="45">
        <v>52.638728</v>
      </c>
      <c r="F44" s="45">
        <v>52.777552</v>
      </c>
      <c r="G44" s="45">
        <v>54.701765999999999</v>
      </c>
      <c r="H44" s="45">
        <v>57.469023999999997</v>
      </c>
      <c r="I44" s="46">
        <v>59.711717</v>
      </c>
      <c r="J44" s="45">
        <v>42.780222000000002</v>
      </c>
      <c r="K44" s="45">
        <v>43.502800999999998</v>
      </c>
      <c r="L44" s="45">
        <v>43.971429999999998</v>
      </c>
      <c r="M44" s="45">
        <v>43.288502999999999</v>
      </c>
      <c r="N44" s="45">
        <v>43.368299999999998</v>
      </c>
      <c r="O44" s="45">
        <v>46.208255000000001</v>
      </c>
      <c r="P44" s="46">
        <v>49.088355</v>
      </c>
      <c r="Q44" s="45">
        <v>56.942906000000001</v>
      </c>
      <c r="R44" s="45">
        <v>63.329276</v>
      </c>
      <c r="S44" s="45">
        <v>61.579315999999999</v>
      </c>
      <c r="T44" s="45">
        <v>62.566009999999999</v>
      </c>
      <c r="U44" s="45">
        <v>66.391746999999995</v>
      </c>
      <c r="V44" s="45">
        <v>68.964622000000006</v>
      </c>
      <c r="W44" s="45">
        <v>70.221020999999993</v>
      </c>
    </row>
    <row r="45" spans="2:23" ht="16.5" customHeight="1" x14ac:dyDescent="0.3">
      <c r="B45" s="26" t="s">
        <v>24</v>
      </c>
      <c r="C45" s="45">
        <v>41.293112000000001</v>
      </c>
      <c r="D45" s="45">
        <v>41.344275000000003</v>
      </c>
      <c r="E45" s="45">
        <v>41.184646000000001</v>
      </c>
      <c r="F45" s="45">
        <v>42.462735000000002</v>
      </c>
      <c r="G45" s="45">
        <v>43.313133999999998</v>
      </c>
      <c r="H45" s="45">
        <v>44.631943999999997</v>
      </c>
      <c r="I45" s="46">
        <v>47.411676999999997</v>
      </c>
      <c r="J45" s="45">
        <v>32.597794</v>
      </c>
      <c r="K45" s="45">
        <v>31.880607999999999</v>
      </c>
      <c r="L45" s="45">
        <v>31.774453999999999</v>
      </c>
      <c r="M45" s="45">
        <v>33.910111999999998</v>
      </c>
      <c r="N45" s="45">
        <v>34.605780000000003</v>
      </c>
      <c r="O45" s="45">
        <v>36.593234000000002</v>
      </c>
      <c r="P45" s="46">
        <v>39.67239</v>
      </c>
      <c r="Q45" s="45">
        <v>50.446029000000003</v>
      </c>
      <c r="R45" s="45">
        <v>51.304203999999999</v>
      </c>
      <c r="S45" s="45">
        <v>51.102918000000003</v>
      </c>
      <c r="T45" s="45">
        <v>51.495261999999997</v>
      </c>
      <c r="U45" s="45">
        <v>52.519975000000002</v>
      </c>
      <c r="V45" s="45">
        <v>53.057537000000004</v>
      </c>
      <c r="W45" s="45">
        <v>55.523072999999997</v>
      </c>
    </row>
    <row r="46" spans="2:23" ht="16.5" customHeight="1" x14ac:dyDescent="0.3">
      <c r="B46" s="26" t="s">
        <v>25</v>
      </c>
      <c r="C46" s="45">
        <v>37.911721999999997</v>
      </c>
      <c r="D46" s="45">
        <v>34.484254</v>
      </c>
      <c r="E46" s="45">
        <v>35.367431000000003</v>
      </c>
      <c r="F46" s="45">
        <v>35.091164999999997</v>
      </c>
      <c r="G46" s="45">
        <v>39.179473000000002</v>
      </c>
      <c r="H46" s="45">
        <v>38.386257999999998</v>
      </c>
      <c r="I46" s="46">
        <v>37.940593999999997</v>
      </c>
      <c r="J46" s="45">
        <v>26.038333999999999</v>
      </c>
      <c r="K46" s="45">
        <v>26.626125999999999</v>
      </c>
      <c r="L46" s="45">
        <v>24.791952999999999</v>
      </c>
      <c r="M46" s="45">
        <v>24.156559999999999</v>
      </c>
      <c r="N46" s="45">
        <v>28.344007000000001</v>
      </c>
      <c r="O46" s="45">
        <v>29.017415</v>
      </c>
      <c r="P46" s="46">
        <v>27.878395000000001</v>
      </c>
      <c r="Q46" s="45">
        <v>50.268683000000003</v>
      </c>
      <c r="R46" s="45">
        <v>42.647466000000001</v>
      </c>
      <c r="S46" s="45">
        <v>46.350791000000001</v>
      </c>
      <c r="T46" s="45">
        <v>46.473362000000002</v>
      </c>
      <c r="U46" s="45">
        <v>50.480690000000003</v>
      </c>
      <c r="V46" s="45">
        <v>48.082343999999999</v>
      </c>
      <c r="W46" s="45">
        <v>48.338096</v>
      </c>
    </row>
    <row r="47" spans="2:23" ht="16.5" customHeight="1" x14ac:dyDescent="0.3">
      <c r="B47" s="35" t="s">
        <v>26</v>
      </c>
      <c r="C47" s="47">
        <v>40.555670999999997</v>
      </c>
      <c r="D47" s="47">
        <v>42.991903000000001</v>
      </c>
      <c r="E47" s="47">
        <v>38.166651000000002</v>
      </c>
      <c r="F47" s="47">
        <v>38.664392999999997</v>
      </c>
      <c r="G47" s="47">
        <v>40.979860000000002</v>
      </c>
      <c r="H47" s="47">
        <v>47.91771</v>
      </c>
      <c r="I47" s="48">
        <v>51.689359000000003</v>
      </c>
      <c r="J47" s="47">
        <v>32.374594999999999</v>
      </c>
      <c r="K47" s="47">
        <v>34.219929999999998</v>
      </c>
      <c r="L47" s="47">
        <v>29.232890000000001</v>
      </c>
      <c r="M47" s="47">
        <v>30.673183999999999</v>
      </c>
      <c r="N47" s="47">
        <v>31.513421000000001</v>
      </c>
      <c r="O47" s="47">
        <v>36.938780000000001</v>
      </c>
      <c r="P47" s="48">
        <v>40.244219000000001</v>
      </c>
      <c r="Q47" s="47">
        <v>48.968550999999998</v>
      </c>
      <c r="R47" s="47">
        <v>51.986865999999999</v>
      </c>
      <c r="S47" s="47">
        <v>47.301203999999998</v>
      </c>
      <c r="T47" s="47">
        <v>46.833480999999999</v>
      </c>
      <c r="U47" s="47">
        <v>50.669604999999997</v>
      </c>
      <c r="V47" s="47">
        <v>59.031612000000003</v>
      </c>
      <c r="W47" s="47">
        <v>63.268749</v>
      </c>
    </row>
    <row r="48" spans="2:23" ht="16.5" customHeight="1" x14ac:dyDescent="0.3">
      <c r="B48" s="38" t="s">
        <v>10</v>
      </c>
      <c r="C48" s="49">
        <v>65.681377999999995</v>
      </c>
      <c r="D48" s="49">
        <v>65.333582000000007</v>
      </c>
      <c r="E48" s="49">
        <v>63.009838000000002</v>
      </c>
      <c r="F48" s="49">
        <v>63.905248</v>
      </c>
      <c r="G48" s="49">
        <v>64.965093999999993</v>
      </c>
      <c r="H48" s="49">
        <v>65.724237000000002</v>
      </c>
      <c r="I48" s="50">
        <v>68.945235999999994</v>
      </c>
      <c r="J48" s="49">
        <v>59.838545000000003</v>
      </c>
      <c r="K48" s="49">
        <v>59.541440000000001</v>
      </c>
      <c r="L48" s="49">
        <v>56.963208000000002</v>
      </c>
      <c r="M48" s="49">
        <v>56.650964000000002</v>
      </c>
      <c r="N48" s="49">
        <v>58.539574000000002</v>
      </c>
      <c r="O48" s="49">
        <v>59.457538999999997</v>
      </c>
      <c r="P48" s="50">
        <v>62.827570000000001</v>
      </c>
      <c r="Q48" s="49">
        <v>71.624915000000001</v>
      </c>
      <c r="R48" s="49">
        <v>71.219234999999998</v>
      </c>
      <c r="S48" s="49">
        <v>69.149634000000006</v>
      </c>
      <c r="T48" s="49">
        <v>71.261531000000005</v>
      </c>
      <c r="U48" s="49">
        <v>71.458849000000001</v>
      </c>
      <c r="V48" s="49">
        <v>72.020660000000007</v>
      </c>
      <c r="W48" s="49">
        <v>75.080147999999994</v>
      </c>
    </row>
    <row r="49" spans="2:23" ht="16.5" customHeight="1" x14ac:dyDescent="0.3">
      <c r="B49" s="38" t="s">
        <v>11</v>
      </c>
      <c r="C49" s="49">
        <v>65.854774000000006</v>
      </c>
      <c r="D49" s="49">
        <v>66.007598000000002</v>
      </c>
      <c r="E49" s="49">
        <v>64.135081999999997</v>
      </c>
      <c r="F49" s="49">
        <v>65.041175999999993</v>
      </c>
      <c r="G49" s="49">
        <v>66.307253000000003</v>
      </c>
      <c r="H49" s="49">
        <v>67.141955999999993</v>
      </c>
      <c r="I49" s="50">
        <v>68.994590000000002</v>
      </c>
      <c r="J49" s="49">
        <v>58.946964999999999</v>
      </c>
      <c r="K49" s="49">
        <v>59.212463999999997</v>
      </c>
      <c r="L49" s="49">
        <v>57.457383</v>
      </c>
      <c r="M49" s="49">
        <v>58.233241</v>
      </c>
      <c r="N49" s="49">
        <v>59.690587000000001</v>
      </c>
      <c r="O49" s="49">
        <v>59.974527999999999</v>
      </c>
      <c r="P49" s="50">
        <v>62.295054999999998</v>
      </c>
      <c r="Q49" s="49">
        <v>72.786610999999994</v>
      </c>
      <c r="R49" s="49">
        <v>72.821438999999998</v>
      </c>
      <c r="S49" s="49">
        <v>70.826481999999999</v>
      </c>
      <c r="T49" s="49">
        <v>71.850937999999999</v>
      </c>
      <c r="U49" s="49">
        <v>72.902552999999997</v>
      </c>
      <c r="V49" s="49">
        <v>74.254997000000003</v>
      </c>
      <c r="W49" s="49">
        <v>75.630368000000004</v>
      </c>
    </row>
    <row r="50" spans="2:23" ht="16.5" customHeight="1" x14ac:dyDescent="0.3">
      <c r="B50" s="26" t="s">
        <v>12</v>
      </c>
      <c r="C50" s="45">
        <v>67.309978999999998</v>
      </c>
      <c r="D50" s="45">
        <v>67.945648000000006</v>
      </c>
      <c r="E50" s="45">
        <v>65.886469000000005</v>
      </c>
      <c r="F50" s="45">
        <v>66.440124999999995</v>
      </c>
      <c r="G50" s="45">
        <v>68.135512000000006</v>
      </c>
      <c r="H50" s="45">
        <v>69.386347999999998</v>
      </c>
      <c r="I50" s="46">
        <v>69.670792000000006</v>
      </c>
      <c r="J50" s="45">
        <v>59.768700000000003</v>
      </c>
      <c r="K50" s="45">
        <v>60.497849000000002</v>
      </c>
      <c r="L50" s="45">
        <v>58.379337999999997</v>
      </c>
      <c r="M50" s="45">
        <v>59.332137000000003</v>
      </c>
      <c r="N50" s="45">
        <v>60.833694999999999</v>
      </c>
      <c r="O50" s="45">
        <v>62.331935999999999</v>
      </c>
      <c r="P50" s="46">
        <v>62.593665000000001</v>
      </c>
      <c r="Q50" s="45">
        <v>74.818605000000005</v>
      </c>
      <c r="R50" s="45">
        <v>75.346934000000005</v>
      </c>
      <c r="S50" s="45">
        <v>73.342696000000004</v>
      </c>
      <c r="T50" s="45">
        <v>73.485845999999995</v>
      </c>
      <c r="U50" s="45">
        <v>75.342645000000005</v>
      </c>
      <c r="V50" s="45">
        <v>76.331072000000006</v>
      </c>
      <c r="W50" s="45">
        <v>76.627758</v>
      </c>
    </row>
    <row r="51" spans="2:23" ht="16.5" customHeight="1" x14ac:dyDescent="0.3">
      <c r="B51" s="26" t="s">
        <v>13</v>
      </c>
      <c r="C51" s="45">
        <v>63.160088000000002</v>
      </c>
      <c r="D51" s="45">
        <v>63.581164000000001</v>
      </c>
      <c r="E51" s="45">
        <v>61.959980000000002</v>
      </c>
      <c r="F51" s="45">
        <v>62.486193</v>
      </c>
      <c r="G51" s="45">
        <v>64.756513999999996</v>
      </c>
      <c r="H51" s="45">
        <v>65.858171999999996</v>
      </c>
      <c r="I51" s="46">
        <v>66.806388999999996</v>
      </c>
      <c r="J51" s="45">
        <v>55.874029999999998</v>
      </c>
      <c r="K51" s="45">
        <v>56.451183</v>
      </c>
      <c r="L51" s="45">
        <v>54.455962999999997</v>
      </c>
      <c r="M51" s="45">
        <v>55.139304000000003</v>
      </c>
      <c r="N51" s="45">
        <v>57.564894000000002</v>
      </c>
      <c r="O51" s="45">
        <v>58.275461999999997</v>
      </c>
      <c r="P51" s="46">
        <v>59.348117000000002</v>
      </c>
      <c r="Q51" s="45">
        <v>70.614793000000006</v>
      </c>
      <c r="R51" s="45">
        <v>70.865111999999996</v>
      </c>
      <c r="S51" s="45">
        <v>69.620334999999997</v>
      </c>
      <c r="T51" s="45">
        <v>69.972624999999994</v>
      </c>
      <c r="U51" s="45">
        <v>72.054115999999993</v>
      </c>
      <c r="V51" s="45">
        <v>73.511564000000007</v>
      </c>
      <c r="W51" s="45">
        <v>74.329252999999994</v>
      </c>
    </row>
    <row r="52" spans="2:23" ht="16.5" customHeight="1" x14ac:dyDescent="0.3">
      <c r="B52" s="35" t="s">
        <v>19</v>
      </c>
      <c r="C52" s="47">
        <v>44.472737000000002</v>
      </c>
      <c r="D52" s="47">
        <v>44.815700999999997</v>
      </c>
      <c r="E52" s="47">
        <v>43.775267999999997</v>
      </c>
      <c r="F52" s="47">
        <v>44.835160999999999</v>
      </c>
      <c r="G52" s="47">
        <v>46.662671000000003</v>
      </c>
      <c r="H52" s="47">
        <v>48.228091999999997</v>
      </c>
      <c r="I52" s="48">
        <v>49.289715000000001</v>
      </c>
      <c r="J52" s="47">
        <v>32.799529</v>
      </c>
      <c r="K52" s="47">
        <v>33.199643000000002</v>
      </c>
      <c r="L52" s="47">
        <v>31.982727000000001</v>
      </c>
      <c r="M52" s="47">
        <v>33.038443999999998</v>
      </c>
      <c r="N52" s="47">
        <v>34.365777000000001</v>
      </c>
      <c r="O52" s="47">
        <v>36.045679</v>
      </c>
      <c r="P52" s="48">
        <v>37.163510000000002</v>
      </c>
      <c r="Q52" s="47">
        <v>56.310296000000001</v>
      </c>
      <c r="R52" s="47">
        <v>56.589809000000002</v>
      </c>
      <c r="S52" s="47">
        <v>55.732509999999998</v>
      </c>
      <c r="T52" s="47">
        <v>56.793174</v>
      </c>
      <c r="U52" s="47">
        <v>59.124011000000003</v>
      </c>
      <c r="V52" s="47">
        <v>60.504356000000001</v>
      </c>
      <c r="W52" s="47">
        <v>61.496856000000001</v>
      </c>
    </row>
    <row r="53" spans="2:23" ht="16.5" customHeight="1" x14ac:dyDescent="0.3">
      <c r="B53" s="28" t="s">
        <v>14</v>
      </c>
      <c r="C53" s="51">
        <v>58.52055</v>
      </c>
      <c r="D53" s="51">
        <v>59.049284999999998</v>
      </c>
      <c r="E53" s="51">
        <v>57.466765000000002</v>
      </c>
      <c r="F53" s="51">
        <v>58.224407999999997</v>
      </c>
      <c r="G53" s="51">
        <v>60.141852</v>
      </c>
      <c r="H53" s="51">
        <v>61.479050999999998</v>
      </c>
      <c r="I53" s="52">
        <v>62.180503999999999</v>
      </c>
      <c r="J53" s="51">
        <v>49.550207</v>
      </c>
      <c r="K53" s="51">
        <v>50.174255000000002</v>
      </c>
      <c r="L53" s="51">
        <v>48.435447000000003</v>
      </c>
      <c r="M53" s="51">
        <v>49.407684000000003</v>
      </c>
      <c r="N53" s="51">
        <v>51.099794000000003</v>
      </c>
      <c r="O53" s="51">
        <v>52.520935000000001</v>
      </c>
      <c r="P53" s="52">
        <v>53.262698999999998</v>
      </c>
      <c r="Q53" s="51">
        <v>67.557619000000003</v>
      </c>
      <c r="R53" s="51">
        <v>67.978149000000002</v>
      </c>
      <c r="S53" s="51">
        <v>66.550085999999993</v>
      </c>
      <c r="T53" s="51">
        <v>67.079496000000006</v>
      </c>
      <c r="U53" s="51">
        <v>69.196611000000004</v>
      </c>
      <c r="V53" s="51">
        <v>70.412215000000003</v>
      </c>
      <c r="W53" s="51">
        <v>71.063068000000001</v>
      </c>
    </row>
    <row r="55" spans="2:23" ht="16.5" customHeight="1" x14ac:dyDescent="0.3">
      <c r="B55" s="4" t="s">
        <v>50</v>
      </c>
    </row>
    <row r="56" spans="2:23" ht="16.5" customHeight="1" x14ac:dyDescent="0.3">
      <c r="B56" s="71" t="s">
        <v>54</v>
      </c>
    </row>
  </sheetData>
  <mergeCells count="10">
    <mergeCell ref="B9:W9"/>
    <mergeCell ref="B32:W32"/>
    <mergeCell ref="Q10:W10"/>
    <mergeCell ref="Q33:W33"/>
    <mergeCell ref="J33:P33"/>
    <mergeCell ref="C10:I10"/>
    <mergeCell ref="J10:P10"/>
    <mergeCell ref="B33:B34"/>
    <mergeCell ref="C33:I33"/>
    <mergeCell ref="B10:B1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J54"/>
  <sheetViews>
    <sheetView zoomScaleNormal="100" workbookViewId="0"/>
  </sheetViews>
  <sheetFormatPr defaultColWidth="9.7109375" defaultRowHeight="16.5" customHeight="1" x14ac:dyDescent="0.25"/>
  <cols>
    <col min="1" max="1" width="9.7109375" style="5" customWidth="1"/>
    <col min="2" max="2" width="18.7109375" style="5" customWidth="1"/>
    <col min="3" max="16384" width="9.7109375" style="5"/>
  </cols>
  <sheetData>
    <row r="1" spans="2:10" s="18" customFormat="1" ht="16.5" customHeight="1" x14ac:dyDescent="0.25"/>
    <row r="2" spans="2:10" s="18" customFormat="1" ht="16.5" customHeight="1" x14ac:dyDescent="0.25">
      <c r="B2" s="19"/>
      <c r="E2" s="69" t="s">
        <v>49</v>
      </c>
    </row>
    <row r="3" spans="2:10" s="18" customFormat="1" ht="16.5" customHeight="1" x14ac:dyDescent="0.25">
      <c r="B3" s="19"/>
    </row>
    <row r="4" spans="2:10" s="18" customFormat="1" ht="16.5" customHeight="1" x14ac:dyDescent="0.25"/>
    <row r="5" spans="2:10" s="18" customFormat="1" ht="16.5" customHeight="1" x14ac:dyDescent="0.25"/>
    <row r="6" spans="2:10" ht="16.5" customHeight="1" x14ac:dyDescent="0.3">
      <c r="B6" s="3" t="s">
        <v>28</v>
      </c>
      <c r="C6" s="1"/>
      <c r="D6" s="1"/>
      <c r="E6" s="1"/>
      <c r="F6" s="1"/>
      <c r="G6" s="1"/>
      <c r="H6" s="1"/>
      <c r="I6" s="1"/>
      <c r="J6" s="1"/>
    </row>
    <row r="7" spans="2:10" ht="16.5" customHeight="1" x14ac:dyDescent="0.3">
      <c r="B7" s="4" t="s">
        <v>51</v>
      </c>
      <c r="C7" s="1"/>
      <c r="D7" s="1"/>
      <c r="E7" s="1"/>
      <c r="F7" s="1"/>
      <c r="G7" s="1"/>
      <c r="H7" s="1"/>
      <c r="I7" s="1"/>
      <c r="J7" s="1"/>
    </row>
    <row r="8" spans="2:10" ht="16.5" customHeight="1" x14ac:dyDescent="0.3">
      <c r="B8" s="4"/>
      <c r="C8" s="1"/>
      <c r="D8" s="1"/>
      <c r="E8" s="1"/>
      <c r="F8" s="1"/>
      <c r="G8" s="1"/>
      <c r="H8" s="1"/>
      <c r="I8" s="1"/>
      <c r="J8" s="1"/>
    </row>
    <row r="9" spans="2:10" s="2" customFormat="1" ht="16.5" customHeight="1" x14ac:dyDescent="0.3">
      <c r="B9" s="80" t="s">
        <v>41</v>
      </c>
      <c r="C9" s="80"/>
      <c r="D9" s="80"/>
      <c r="E9" s="80"/>
      <c r="F9" s="80"/>
      <c r="G9" s="80"/>
      <c r="H9" s="80"/>
      <c r="I9" s="80"/>
    </row>
    <row r="10" spans="2:10" s="2" customFormat="1" ht="16.5" customHeight="1" x14ac:dyDescent="0.3">
      <c r="B10" s="11" t="s">
        <v>16</v>
      </c>
      <c r="C10" s="7">
        <v>2018</v>
      </c>
      <c r="D10" s="7">
        <v>2019</v>
      </c>
      <c r="E10" s="7">
        <v>2020</v>
      </c>
      <c r="F10" s="7">
        <v>2021</v>
      </c>
      <c r="G10" s="7">
        <v>2022</v>
      </c>
      <c r="H10" s="7">
        <v>2023</v>
      </c>
      <c r="I10" s="7">
        <v>2024</v>
      </c>
    </row>
    <row r="11" spans="2:10" s="2" customFormat="1" ht="16.5" customHeight="1" x14ac:dyDescent="0.3">
      <c r="B11" s="30" t="s">
        <v>4</v>
      </c>
      <c r="C11" s="59">
        <v>36.933999999999997</v>
      </c>
      <c r="D11" s="59">
        <v>31.178000000000001</v>
      </c>
      <c r="E11" s="59">
        <v>31.29</v>
      </c>
      <c r="F11" s="59">
        <v>30.760999999999999</v>
      </c>
      <c r="G11" s="59">
        <v>31.434999999999999</v>
      </c>
      <c r="H11" s="59">
        <v>31.385000000000002</v>
      </c>
      <c r="I11" s="59">
        <v>31.227</v>
      </c>
    </row>
    <row r="12" spans="2:10" s="2" customFormat="1" ht="16.5" customHeight="1" x14ac:dyDescent="0.3">
      <c r="B12" s="26" t="s">
        <v>5</v>
      </c>
      <c r="C12" s="27">
        <v>23.437000000000001</v>
      </c>
      <c r="D12" s="27">
        <v>25.728999999999999</v>
      </c>
      <c r="E12" s="27">
        <v>20.57</v>
      </c>
      <c r="F12" s="27">
        <v>19.821000000000002</v>
      </c>
      <c r="G12" s="27">
        <v>17.081</v>
      </c>
      <c r="H12" s="27">
        <v>16.463000000000001</v>
      </c>
      <c r="I12" s="27">
        <v>15.356999999999999</v>
      </c>
    </row>
    <row r="13" spans="2:10" s="2" customFormat="1" ht="16.5" customHeight="1" x14ac:dyDescent="0.3">
      <c r="B13" s="26" t="s">
        <v>6</v>
      </c>
      <c r="C13" s="27">
        <v>42.418999999999997</v>
      </c>
      <c r="D13" s="27">
        <v>36.162999999999997</v>
      </c>
      <c r="E13" s="27">
        <v>43.792000000000002</v>
      </c>
      <c r="F13" s="27">
        <v>47.412999999999997</v>
      </c>
      <c r="G13" s="27">
        <v>40.735999999999997</v>
      </c>
      <c r="H13" s="27">
        <v>35.234000000000002</v>
      </c>
      <c r="I13" s="27">
        <v>35.837000000000003</v>
      </c>
    </row>
    <row r="14" spans="2:10" s="2" customFormat="1" ht="16.5" customHeight="1" x14ac:dyDescent="0.3">
      <c r="B14" s="26" t="s">
        <v>20</v>
      </c>
      <c r="C14" s="27">
        <v>9.859</v>
      </c>
      <c r="D14" s="27">
        <v>7.0209999999999999</v>
      </c>
      <c r="E14" s="27">
        <v>9.4969999999999999</v>
      </c>
      <c r="F14" s="27">
        <v>6.4169999999999998</v>
      </c>
      <c r="G14" s="27">
        <v>5.2919999999999998</v>
      </c>
      <c r="H14" s="27">
        <v>3.8940000000000001</v>
      </c>
      <c r="I14" s="27">
        <v>6.9379999999999997</v>
      </c>
    </row>
    <row r="15" spans="2:10" s="2" customFormat="1" ht="16.5" customHeight="1" x14ac:dyDescent="0.3">
      <c r="B15" s="26" t="s">
        <v>21</v>
      </c>
      <c r="C15" s="27">
        <v>6.9260000000000002</v>
      </c>
      <c r="D15" s="27">
        <v>6.21</v>
      </c>
      <c r="E15" s="27">
        <v>5.484</v>
      </c>
      <c r="F15" s="27">
        <v>5.3769999999999998</v>
      </c>
      <c r="G15" s="27">
        <v>5.2789999999999999</v>
      </c>
      <c r="H15" s="27">
        <v>5.67</v>
      </c>
      <c r="I15" s="27">
        <v>5.0019999999999998</v>
      </c>
    </row>
    <row r="16" spans="2:10" s="2" customFormat="1" ht="16.5" customHeight="1" x14ac:dyDescent="0.3">
      <c r="B16" s="26" t="s">
        <v>7</v>
      </c>
      <c r="C16" s="27">
        <v>10.548999999999999</v>
      </c>
      <c r="D16" s="27">
        <v>6.4509999999999996</v>
      </c>
      <c r="E16" s="27">
        <v>7.3730000000000002</v>
      </c>
      <c r="F16" s="27">
        <v>7.4</v>
      </c>
      <c r="G16" s="27">
        <v>6.2750000000000004</v>
      </c>
      <c r="H16" s="27">
        <v>6.9779999999999998</v>
      </c>
      <c r="I16" s="27">
        <v>10.134</v>
      </c>
    </row>
    <row r="17" spans="2:9" s="2" customFormat="1" ht="16.5" customHeight="1" x14ac:dyDescent="0.3">
      <c r="B17" s="26" t="s">
        <v>22</v>
      </c>
      <c r="C17" s="27">
        <v>10.166</v>
      </c>
      <c r="D17" s="27">
        <v>12.407</v>
      </c>
      <c r="E17" s="27">
        <v>13.397</v>
      </c>
      <c r="F17" s="27">
        <v>13.933999999999999</v>
      </c>
      <c r="G17" s="27">
        <v>12.567</v>
      </c>
      <c r="H17" s="27">
        <v>9.8059999999999992</v>
      </c>
      <c r="I17" s="27">
        <v>6.0860000000000003</v>
      </c>
    </row>
    <row r="18" spans="2:9" s="2" customFormat="1" ht="16.5" customHeight="1" x14ac:dyDescent="0.3">
      <c r="B18" s="26" t="s">
        <v>8</v>
      </c>
      <c r="C18" s="27">
        <v>116.774</v>
      </c>
      <c r="D18" s="27">
        <v>108.09699999999999</v>
      </c>
      <c r="E18" s="27">
        <v>103.389</v>
      </c>
      <c r="F18" s="27">
        <v>111.732</v>
      </c>
      <c r="G18" s="27">
        <v>86.768000000000001</v>
      </c>
      <c r="H18" s="27">
        <v>72.927999999999997</v>
      </c>
      <c r="I18" s="27">
        <v>62.555999999999997</v>
      </c>
    </row>
    <row r="19" spans="2:9" s="2" customFormat="1" ht="16.5" customHeight="1" x14ac:dyDescent="0.3">
      <c r="B19" s="26" t="s">
        <v>9</v>
      </c>
      <c r="C19" s="27">
        <v>109.114</v>
      </c>
      <c r="D19" s="27">
        <v>108.914</v>
      </c>
      <c r="E19" s="27">
        <v>90.947999999999993</v>
      </c>
      <c r="F19" s="27">
        <v>106.65900000000001</v>
      </c>
      <c r="G19" s="27">
        <v>96.474999999999994</v>
      </c>
      <c r="H19" s="27">
        <v>104.303</v>
      </c>
      <c r="I19" s="27">
        <v>107.477</v>
      </c>
    </row>
    <row r="20" spans="2:9" s="2" customFormat="1" ht="16.5" customHeight="1" x14ac:dyDescent="0.3">
      <c r="B20" s="26" t="s">
        <v>23</v>
      </c>
      <c r="C20" s="27">
        <v>12.1</v>
      </c>
      <c r="D20" s="27">
        <v>12.657999999999999</v>
      </c>
      <c r="E20" s="27">
        <v>11.888999999999999</v>
      </c>
      <c r="F20" s="27">
        <v>11.164</v>
      </c>
      <c r="G20" s="27">
        <v>10.824999999999999</v>
      </c>
      <c r="H20" s="27">
        <v>11.802</v>
      </c>
      <c r="I20" s="27">
        <v>6.4850000000000003</v>
      </c>
    </row>
    <row r="21" spans="2:9" s="2" customFormat="1" ht="16.5" customHeight="1" x14ac:dyDescent="0.3">
      <c r="B21" s="26" t="s">
        <v>24</v>
      </c>
      <c r="C21" s="27">
        <v>37.780999999999999</v>
      </c>
      <c r="D21" s="27">
        <v>38.805</v>
      </c>
      <c r="E21" s="27">
        <v>34.101999999999997</v>
      </c>
      <c r="F21" s="27">
        <v>47.387</v>
      </c>
      <c r="G21" s="27">
        <v>46.085999999999999</v>
      </c>
      <c r="H21" s="27">
        <v>45.222999999999999</v>
      </c>
      <c r="I21" s="27">
        <v>34.799999999999997</v>
      </c>
    </row>
    <row r="22" spans="2:9" s="2" customFormat="1" ht="16.5" customHeight="1" x14ac:dyDescent="0.3">
      <c r="B22" s="26" t="s">
        <v>25</v>
      </c>
      <c r="C22" s="27">
        <v>30.114000000000001</v>
      </c>
      <c r="D22" s="27">
        <v>34.481999999999999</v>
      </c>
      <c r="E22" s="27">
        <v>35.140999999999998</v>
      </c>
      <c r="F22" s="27">
        <v>33.789000000000001</v>
      </c>
      <c r="G22" s="27">
        <v>29.77</v>
      </c>
      <c r="H22" s="27">
        <v>30.440999999999999</v>
      </c>
      <c r="I22" s="27">
        <v>25.635000000000002</v>
      </c>
    </row>
    <row r="23" spans="2:9" s="2" customFormat="1" ht="16.5" customHeight="1" x14ac:dyDescent="0.3">
      <c r="B23" s="35" t="s">
        <v>26</v>
      </c>
      <c r="C23" s="53">
        <v>31.786000000000001</v>
      </c>
      <c r="D23" s="53">
        <v>26.094999999999999</v>
      </c>
      <c r="E23" s="53">
        <v>24.747</v>
      </c>
      <c r="F23" s="53">
        <v>26.462</v>
      </c>
      <c r="G23" s="53">
        <v>29.006</v>
      </c>
      <c r="H23" s="53">
        <v>26.696000000000002</v>
      </c>
      <c r="I23" s="53">
        <v>20.175999999999998</v>
      </c>
    </row>
    <row r="24" spans="2:9" s="2" customFormat="1" ht="16.5" customHeight="1" x14ac:dyDescent="0.3">
      <c r="B24" s="38" t="s">
        <v>40</v>
      </c>
      <c r="C24" s="54">
        <v>95.150999999999996</v>
      </c>
      <c r="D24" s="54">
        <v>84.162999999999997</v>
      </c>
      <c r="E24" s="54">
        <v>80.605999999999995</v>
      </c>
      <c r="F24" s="54">
        <v>80.472999999999999</v>
      </c>
      <c r="G24" s="54">
        <v>71.938999999999993</v>
      </c>
      <c r="H24" s="54">
        <v>68.436000000000007</v>
      </c>
      <c r="I24" s="54">
        <v>64.412000000000006</v>
      </c>
    </row>
    <row r="25" spans="2:9" s="2" customFormat="1" ht="16.5" customHeight="1" x14ac:dyDescent="0.3">
      <c r="B25" s="38" t="s">
        <v>11</v>
      </c>
      <c r="C25" s="54">
        <v>162.05000000000001</v>
      </c>
      <c r="D25" s="54">
        <v>149.161</v>
      </c>
      <c r="E25" s="54">
        <v>144.155</v>
      </c>
      <c r="F25" s="54">
        <v>139.12200000000001</v>
      </c>
      <c r="G25" s="54">
        <v>123.532</v>
      </c>
      <c r="H25" s="54">
        <v>117.998</v>
      </c>
      <c r="I25" s="54">
        <v>106.036</v>
      </c>
    </row>
    <row r="26" spans="2:9" s="2" customFormat="1" ht="16.5" customHeight="1" x14ac:dyDescent="0.3">
      <c r="B26" s="26" t="s">
        <v>12</v>
      </c>
      <c r="C26" s="27">
        <v>837.35500000000002</v>
      </c>
      <c r="D26" s="27">
        <v>779.96199999999999</v>
      </c>
      <c r="E26" s="27">
        <v>741.98900000000003</v>
      </c>
      <c r="F26" s="27">
        <v>748.94899999999996</v>
      </c>
      <c r="G26" s="27">
        <v>641.91700000000003</v>
      </c>
      <c r="H26" s="27">
        <v>591.93399999999997</v>
      </c>
      <c r="I26" s="27">
        <v>512.48099999999999</v>
      </c>
    </row>
    <row r="27" spans="2:9" s="2" customFormat="1" ht="16.5" customHeight="1" x14ac:dyDescent="0.3">
      <c r="B27" s="26" t="s">
        <v>13</v>
      </c>
      <c r="C27" s="27">
        <v>505.34300000000002</v>
      </c>
      <c r="D27" s="27">
        <v>462.26900000000001</v>
      </c>
      <c r="E27" s="27">
        <v>425.45499999999998</v>
      </c>
      <c r="F27" s="27">
        <v>449.09399999999999</v>
      </c>
      <c r="G27" s="27">
        <v>367.10599999999999</v>
      </c>
      <c r="H27" s="27">
        <v>330.45699999999999</v>
      </c>
      <c r="I27" s="27">
        <v>284.31200000000001</v>
      </c>
    </row>
    <row r="28" spans="2:9" s="2" customFormat="1" ht="16.5" customHeight="1" x14ac:dyDescent="0.3">
      <c r="B28" s="35" t="s">
        <v>19</v>
      </c>
      <c r="C28" s="53">
        <v>1366.6790000000001</v>
      </c>
      <c r="D28" s="53">
        <v>1297.771</v>
      </c>
      <c r="E28" s="53">
        <v>1133.442</v>
      </c>
      <c r="F28" s="53">
        <v>1168.7629999999999</v>
      </c>
      <c r="G28" s="53">
        <v>1018.465</v>
      </c>
      <c r="H28" s="53">
        <v>1024.4770000000001</v>
      </c>
      <c r="I28" s="53">
        <v>866.77700000000004</v>
      </c>
    </row>
    <row r="29" spans="2:9" s="2" customFormat="1" ht="16.5" customHeight="1" x14ac:dyDescent="0.3">
      <c r="B29" s="28" t="s">
        <v>14</v>
      </c>
      <c r="C29" s="29">
        <v>2709.377</v>
      </c>
      <c r="D29" s="29">
        <v>2540.002</v>
      </c>
      <c r="E29" s="29">
        <v>2300.886</v>
      </c>
      <c r="F29" s="29">
        <v>2366.806</v>
      </c>
      <c r="G29" s="29">
        <v>2027.489</v>
      </c>
      <c r="H29" s="29">
        <v>1946.8689999999999</v>
      </c>
      <c r="I29" s="29">
        <v>1663.569</v>
      </c>
    </row>
    <row r="30" spans="2:9" s="2" customFormat="1" ht="16.5" customHeight="1" x14ac:dyDescent="0.3">
      <c r="B30" s="5"/>
      <c r="C30" s="5"/>
      <c r="D30" s="5"/>
      <c r="E30" s="5"/>
      <c r="F30" s="5"/>
      <c r="G30" s="5"/>
      <c r="H30" s="5"/>
    </row>
    <row r="31" spans="2:9" s="2" customFormat="1" ht="16.5" customHeight="1" x14ac:dyDescent="0.3">
      <c r="C31" s="5"/>
      <c r="D31" s="5"/>
      <c r="E31" s="5"/>
      <c r="F31" s="5"/>
      <c r="G31" s="5"/>
      <c r="H31" s="5"/>
    </row>
    <row r="32" spans="2:9" ht="16.5" customHeight="1" x14ac:dyDescent="0.25">
      <c r="B32" s="80" t="s">
        <v>30</v>
      </c>
      <c r="C32" s="80"/>
      <c r="D32" s="80"/>
      <c r="E32" s="80"/>
      <c r="F32" s="80"/>
      <c r="G32" s="80"/>
      <c r="H32" s="80"/>
      <c r="I32" s="80"/>
    </row>
    <row r="33" spans="2:9" ht="16.5" customHeight="1" x14ac:dyDescent="0.25">
      <c r="B33" s="11" t="s">
        <v>16</v>
      </c>
      <c r="C33" s="7">
        <v>2018</v>
      </c>
      <c r="D33" s="7">
        <v>2019</v>
      </c>
      <c r="E33" s="7">
        <v>2020</v>
      </c>
      <c r="F33" s="7">
        <v>2021</v>
      </c>
      <c r="G33" s="7">
        <v>2022</v>
      </c>
      <c r="H33" s="7">
        <v>2023</v>
      </c>
      <c r="I33" s="7">
        <v>2024</v>
      </c>
    </row>
    <row r="34" spans="2:9" ht="16.5" customHeight="1" x14ac:dyDescent="0.25">
      <c r="B34" s="30" t="s">
        <v>4</v>
      </c>
      <c r="C34" s="60">
        <v>9.0232139999999994</v>
      </c>
      <c r="D34" s="60">
        <v>7.7642069999999999</v>
      </c>
      <c r="E34" s="60">
        <v>8.2309900000000003</v>
      </c>
      <c r="F34" s="60">
        <v>8.0795080000000006</v>
      </c>
      <c r="G34" s="60">
        <v>8.082948</v>
      </c>
      <c r="H34" s="60">
        <v>8.1744959999999995</v>
      </c>
      <c r="I34" s="60">
        <v>7.8291519999999997</v>
      </c>
    </row>
    <row r="35" spans="2:9" ht="16.5" customHeight="1" x14ac:dyDescent="0.25">
      <c r="B35" s="26" t="s">
        <v>5</v>
      </c>
      <c r="C35" s="55">
        <v>9.2915279999999996</v>
      </c>
      <c r="D35" s="55">
        <v>10.264471</v>
      </c>
      <c r="E35" s="55">
        <v>8.5598969999999994</v>
      </c>
      <c r="F35" s="55">
        <v>8.1680360000000007</v>
      </c>
      <c r="G35" s="55">
        <v>6.8503970000000001</v>
      </c>
      <c r="H35" s="55">
        <v>6.4432049999999998</v>
      </c>
      <c r="I35" s="55">
        <v>5.983339</v>
      </c>
    </row>
    <row r="36" spans="2:9" ht="16.5" customHeight="1" x14ac:dyDescent="0.25">
      <c r="B36" s="26" t="s">
        <v>6</v>
      </c>
      <c r="C36" s="55">
        <v>6.1962580000000003</v>
      </c>
      <c r="D36" s="55">
        <v>5.1906829999999999</v>
      </c>
      <c r="E36" s="55">
        <v>6.3783279999999998</v>
      </c>
      <c r="F36" s="55">
        <v>6.7712709999999996</v>
      </c>
      <c r="G36" s="55">
        <v>5.8349909999999996</v>
      </c>
      <c r="H36" s="55">
        <v>5.1195979999999999</v>
      </c>
      <c r="I36" s="55">
        <v>5.0166680000000001</v>
      </c>
    </row>
    <row r="37" spans="2:9" ht="16.5" customHeight="1" x14ac:dyDescent="0.25">
      <c r="B37" s="26" t="s">
        <v>20</v>
      </c>
      <c r="C37" s="55">
        <v>8.3485960000000006</v>
      </c>
      <c r="D37" s="55">
        <v>5.7179979999999997</v>
      </c>
      <c r="E37" s="55">
        <v>7.9931159999999997</v>
      </c>
      <c r="F37" s="55">
        <v>5.4115739999999999</v>
      </c>
      <c r="G37" s="55">
        <v>4.4262930000000003</v>
      </c>
      <c r="H37" s="55">
        <v>3.080975</v>
      </c>
      <c r="I37" s="55">
        <v>5.8533559999999998</v>
      </c>
    </row>
    <row r="38" spans="2:9" ht="16.5" customHeight="1" x14ac:dyDescent="0.25">
      <c r="B38" s="26" t="s">
        <v>21</v>
      </c>
      <c r="C38" s="55">
        <v>5.9341119999999998</v>
      </c>
      <c r="D38" s="55">
        <v>5.3990330000000002</v>
      </c>
      <c r="E38" s="55">
        <v>5.1421469999999996</v>
      </c>
      <c r="F38" s="55">
        <v>5.1959210000000002</v>
      </c>
      <c r="G38" s="55">
        <v>4.4151509999999998</v>
      </c>
      <c r="H38" s="55">
        <v>4.7894180000000004</v>
      </c>
      <c r="I38" s="55">
        <v>4.4804570000000004</v>
      </c>
    </row>
    <row r="39" spans="2:9" ht="16.5" customHeight="1" x14ac:dyDescent="0.25">
      <c r="B39" s="26" t="s">
        <v>7</v>
      </c>
      <c r="C39" s="55">
        <v>5.4231340000000001</v>
      </c>
      <c r="D39" s="55">
        <v>3.3136269999999999</v>
      </c>
      <c r="E39" s="55">
        <v>3.9029530000000001</v>
      </c>
      <c r="F39" s="55">
        <v>3.9192040000000001</v>
      </c>
      <c r="G39" s="55">
        <v>3.2798500000000002</v>
      </c>
      <c r="H39" s="55">
        <v>3.704269</v>
      </c>
      <c r="I39" s="55">
        <v>5.2758849999999997</v>
      </c>
    </row>
    <row r="40" spans="2:9" ht="16.5" customHeight="1" x14ac:dyDescent="0.25">
      <c r="B40" s="26" t="s">
        <v>22</v>
      </c>
      <c r="C40" s="55">
        <v>5.6265450000000001</v>
      </c>
      <c r="D40" s="55">
        <v>6.8219719999999997</v>
      </c>
      <c r="E40" s="55">
        <v>8.0141810000000007</v>
      </c>
      <c r="F40" s="55">
        <v>8.1136370000000007</v>
      </c>
      <c r="G40" s="55">
        <v>6.8918900000000001</v>
      </c>
      <c r="H40" s="55">
        <v>5.58047</v>
      </c>
      <c r="I40" s="55">
        <v>3.4279540000000002</v>
      </c>
    </row>
    <row r="41" spans="2:9" ht="16.5" customHeight="1" x14ac:dyDescent="0.25">
      <c r="B41" s="26" t="s">
        <v>8</v>
      </c>
      <c r="C41" s="55">
        <v>8.7630719999999993</v>
      </c>
      <c r="D41" s="55">
        <v>8.1525809999999996</v>
      </c>
      <c r="E41" s="55">
        <v>8.1011229999999994</v>
      </c>
      <c r="F41" s="55">
        <v>8.7672699999999999</v>
      </c>
      <c r="G41" s="55">
        <v>6.8613179999999998</v>
      </c>
      <c r="H41" s="55">
        <v>5.6578290000000004</v>
      </c>
      <c r="I41" s="55">
        <v>4.7955379999999996</v>
      </c>
    </row>
    <row r="42" spans="2:9" ht="16.5" customHeight="1" x14ac:dyDescent="0.25">
      <c r="B42" s="26" t="s">
        <v>9</v>
      </c>
      <c r="C42" s="55">
        <v>29.908396</v>
      </c>
      <c r="D42" s="55">
        <v>30.081969000000001</v>
      </c>
      <c r="E42" s="55">
        <v>26.978939</v>
      </c>
      <c r="F42" s="55">
        <v>31.078227999999999</v>
      </c>
      <c r="G42" s="55">
        <v>28.641667999999999</v>
      </c>
      <c r="H42" s="55">
        <v>29.114792000000001</v>
      </c>
      <c r="I42" s="55">
        <v>29.524037</v>
      </c>
    </row>
    <row r="43" spans="2:9" ht="16.5" customHeight="1" x14ac:dyDescent="0.25">
      <c r="B43" s="26" t="s">
        <v>23</v>
      </c>
      <c r="C43" s="55">
        <v>10.39508</v>
      </c>
      <c r="D43" s="55">
        <v>10.228019</v>
      </c>
      <c r="E43" s="55">
        <v>9.8770159999999994</v>
      </c>
      <c r="F43" s="55">
        <v>9.4030950000000004</v>
      </c>
      <c r="G43" s="55">
        <v>8.7965350000000004</v>
      </c>
      <c r="H43" s="55">
        <v>9.1173640000000002</v>
      </c>
      <c r="I43" s="55">
        <v>5.069115</v>
      </c>
    </row>
    <row r="44" spans="2:9" ht="16.5" customHeight="1" x14ac:dyDescent="0.25">
      <c r="B44" s="26" t="s">
        <v>24</v>
      </c>
      <c r="C44" s="55">
        <v>17.213557999999999</v>
      </c>
      <c r="D44" s="55">
        <v>17.670501000000002</v>
      </c>
      <c r="E44" s="55">
        <v>16.224167000000001</v>
      </c>
      <c r="F44" s="55">
        <v>20.886994000000001</v>
      </c>
      <c r="G44" s="55">
        <v>20.570456</v>
      </c>
      <c r="H44" s="55">
        <v>19.807969</v>
      </c>
      <c r="I44" s="55">
        <v>15.089808</v>
      </c>
    </row>
    <row r="45" spans="2:9" ht="16.5" customHeight="1" x14ac:dyDescent="0.25">
      <c r="B45" s="26" t="s">
        <v>25</v>
      </c>
      <c r="C45" s="55">
        <v>34.436408</v>
      </c>
      <c r="D45" s="55">
        <v>39.757359999999998</v>
      </c>
      <c r="E45" s="55">
        <v>40.211744000000003</v>
      </c>
      <c r="F45" s="55">
        <v>39.953069999999997</v>
      </c>
      <c r="G45" s="55">
        <v>34.948554000000001</v>
      </c>
      <c r="H45" s="55">
        <v>35.870868000000002</v>
      </c>
      <c r="I45" s="55">
        <v>32.187738000000003</v>
      </c>
    </row>
    <row r="46" spans="2:9" ht="16.5" customHeight="1" x14ac:dyDescent="0.25">
      <c r="B46" s="35" t="s">
        <v>26</v>
      </c>
      <c r="C46" s="56">
        <v>28.420952</v>
      </c>
      <c r="D46" s="56">
        <v>23.508987000000001</v>
      </c>
      <c r="E46" s="56">
        <v>24.913943</v>
      </c>
      <c r="F46" s="56">
        <v>25.920484999999999</v>
      </c>
      <c r="G46" s="56">
        <v>26.631907000000002</v>
      </c>
      <c r="H46" s="56">
        <v>22.403973000000001</v>
      </c>
      <c r="I46" s="56">
        <v>16.823647999999999</v>
      </c>
    </row>
    <row r="47" spans="2:9" ht="16.5" customHeight="1" x14ac:dyDescent="0.25">
      <c r="B47" s="38" t="s">
        <v>10</v>
      </c>
      <c r="C47" s="57">
        <v>9.2532689999999995</v>
      </c>
      <c r="D47" s="57">
        <v>8.3336550000000003</v>
      </c>
      <c r="E47" s="57">
        <v>8.3258360000000007</v>
      </c>
      <c r="F47" s="57">
        <v>8.2562999999999995</v>
      </c>
      <c r="G47" s="57">
        <v>7.3951969999999996</v>
      </c>
      <c r="H47" s="57">
        <v>7.0052680000000001</v>
      </c>
      <c r="I47" s="57">
        <v>6.3074260000000004</v>
      </c>
    </row>
    <row r="48" spans="2:9" ht="16.5" customHeight="1" x14ac:dyDescent="0.25">
      <c r="B48" s="38" t="s">
        <v>11</v>
      </c>
      <c r="C48" s="57">
        <v>8.2233839999999994</v>
      </c>
      <c r="D48" s="57">
        <v>7.6319280000000003</v>
      </c>
      <c r="E48" s="57">
        <v>7.6360000000000001</v>
      </c>
      <c r="F48" s="57">
        <v>7.3384749999999999</v>
      </c>
      <c r="G48" s="57">
        <v>6.5007400000000004</v>
      </c>
      <c r="H48" s="57">
        <v>6.1692270000000002</v>
      </c>
      <c r="I48" s="57">
        <v>5.4235810000000004</v>
      </c>
    </row>
    <row r="49" spans="2:9" ht="16.5" customHeight="1" x14ac:dyDescent="0.25">
      <c r="B49" s="26" t="s">
        <v>12</v>
      </c>
      <c r="C49" s="55">
        <v>6.5507799999999996</v>
      </c>
      <c r="D49" s="55">
        <v>6.0758520000000003</v>
      </c>
      <c r="E49" s="55">
        <v>5.9704079999999999</v>
      </c>
      <c r="F49" s="55">
        <v>5.9939470000000004</v>
      </c>
      <c r="G49" s="55">
        <v>5.0725129999999998</v>
      </c>
      <c r="H49" s="55">
        <v>4.6200650000000003</v>
      </c>
      <c r="I49" s="55">
        <v>3.9860600000000002</v>
      </c>
    </row>
    <row r="50" spans="2:9" ht="16.5" customHeight="1" x14ac:dyDescent="0.25">
      <c r="B50" s="26" t="s">
        <v>13</v>
      </c>
      <c r="C50" s="55">
        <v>9.4042270000000006</v>
      </c>
      <c r="D50" s="55">
        <v>8.6375309999999992</v>
      </c>
      <c r="E50" s="55">
        <v>8.2273809999999994</v>
      </c>
      <c r="F50" s="55">
        <v>8.6181819999999991</v>
      </c>
      <c r="G50" s="55">
        <v>6.9530849999999997</v>
      </c>
      <c r="H50" s="55">
        <v>6.2157270000000002</v>
      </c>
      <c r="I50" s="55">
        <v>5.2959620000000003</v>
      </c>
    </row>
    <row r="51" spans="2:9" ht="16.5" customHeight="1" x14ac:dyDescent="0.25">
      <c r="B51" s="35" t="s">
        <v>19</v>
      </c>
      <c r="C51" s="56">
        <v>18.367816000000001</v>
      </c>
      <c r="D51" s="56">
        <v>17.585916999999998</v>
      </c>
      <c r="E51" s="56">
        <v>16.159821999999998</v>
      </c>
      <c r="F51" s="56">
        <v>16.407477</v>
      </c>
      <c r="G51" s="56">
        <v>14.303018</v>
      </c>
      <c r="H51" s="56">
        <v>13.995561</v>
      </c>
      <c r="I51" s="56">
        <v>11.863913999999999</v>
      </c>
    </row>
    <row r="52" spans="2:9" ht="16.5" customHeight="1" x14ac:dyDescent="0.25">
      <c r="B52" s="28" t="s">
        <v>14</v>
      </c>
      <c r="C52" s="58">
        <v>10.584861999999999</v>
      </c>
      <c r="D52" s="58">
        <v>9.9340869999999999</v>
      </c>
      <c r="E52" s="58">
        <v>9.3482789999999998</v>
      </c>
      <c r="F52" s="58">
        <v>9.5322530000000008</v>
      </c>
      <c r="G52" s="58">
        <v>8.0920889999999996</v>
      </c>
      <c r="H52" s="58">
        <v>7.650163</v>
      </c>
      <c r="I52" s="58">
        <v>6.515803</v>
      </c>
    </row>
    <row r="54" spans="2:9" ht="16.5" customHeight="1" x14ac:dyDescent="0.3">
      <c r="B54" s="4" t="s">
        <v>50</v>
      </c>
    </row>
  </sheetData>
  <mergeCells count="2">
    <mergeCell ref="B32:I32"/>
    <mergeCell ref="B9:I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Z56"/>
  <sheetViews>
    <sheetView showGridLines="0" zoomScaleNormal="100" workbookViewId="0"/>
  </sheetViews>
  <sheetFormatPr defaultColWidth="9.7109375" defaultRowHeight="16.5" customHeight="1" x14ac:dyDescent="0.25"/>
  <cols>
    <col min="1" max="1" width="9.7109375" style="5" customWidth="1"/>
    <col min="2" max="2" width="18.7109375" style="5" customWidth="1"/>
    <col min="3" max="16384" width="9.7109375" style="5"/>
  </cols>
  <sheetData>
    <row r="1" spans="2:23" s="18" customFormat="1" ht="16.5" customHeight="1" x14ac:dyDescent="0.25"/>
    <row r="2" spans="2:23" s="18" customFormat="1" ht="16.5" customHeight="1" x14ac:dyDescent="0.25">
      <c r="B2" s="19"/>
      <c r="E2" s="69" t="s">
        <v>49</v>
      </c>
    </row>
    <row r="3" spans="2:23" s="18" customFormat="1" ht="16.5" customHeight="1" x14ac:dyDescent="0.25">
      <c r="B3" s="19"/>
    </row>
    <row r="4" spans="2:23" s="18" customFormat="1" ht="16.5" customHeight="1" x14ac:dyDescent="0.25"/>
    <row r="6" spans="2:23" s="1" customFormat="1" ht="16.5" customHeight="1" x14ac:dyDescent="0.3">
      <c r="B6" s="3" t="s">
        <v>29</v>
      </c>
    </row>
    <row r="7" spans="2:23" s="1" customFormat="1" ht="16.5" customHeight="1" x14ac:dyDescent="0.3">
      <c r="B7" s="4" t="s">
        <v>51</v>
      </c>
    </row>
    <row r="8" spans="2:23" s="1" customFormat="1" ht="16.5" customHeight="1" x14ac:dyDescent="0.3">
      <c r="B8" s="3"/>
    </row>
    <row r="9" spans="2:23" ht="16.5" customHeight="1" x14ac:dyDescent="0.25">
      <c r="B9" s="80" t="s">
        <v>39</v>
      </c>
      <c r="C9" s="80"/>
      <c r="D9" s="80"/>
      <c r="E9" s="80"/>
      <c r="F9" s="80"/>
      <c r="G9" s="80"/>
      <c r="H9" s="80"/>
      <c r="I9" s="80"/>
      <c r="J9" s="80"/>
      <c r="K9" s="80"/>
      <c r="L9" s="80"/>
      <c r="M9" s="80"/>
      <c r="N9" s="80"/>
      <c r="O9" s="80"/>
      <c r="P9" s="80"/>
      <c r="Q9" s="80"/>
      <c r="R9" s="80"/>
      <c r="S9" s="80"/>
      <c r="T9" s="80"/>
      <c r="U9" s="80"/>
      <c r="V9" s="80"/>
      <c r="W9" s="80"/>
    </row>
    <row r="10" spans="2:23" ht="16.5" customHeight="1" x14ac:dyDescent="0.25">
      <c r="B10" s="85" t="s">
        <v>16</v>
      </c>
      <c r="C10" s="80" t="s">
        <v>15</v>
      </c>
      <c r="D10" s="80"/>
      <c r="E10" s="80"/>
      <c r="F10" s="80"/>
      <c r="G10" s="80"/>
      <c r="H10" s="80"/>
      <c r="I10" s="80"/>
      <c r="J10" s="81" t="s">
        <v>17</v>
      </c>
      <c r="K10" s="80"/>
      <c r="L10" s="80"/>
      <c r="M10" s="80"/>
      <c r="N10" s="80"/>
      <c r="O10" s="80"/>
      <c r="P10" s="88"/>
      <c r="Q10" s="80" t="s">
        <v>18</v>
      </c>
      <c r="R10" s="89"/>
      <c r="S10" s="89"/>
      <c r="T10" s="89"/>
      <c r="U10" s="89"/>
      <c r="V10" s="89"/>
      <c r="W10" s="89"/>
    </row>
    <row r="11" spans="2:23" ht="16.5" customHeight="1" x14ac:dyDescent="0.25">
      <c r="B11" s="87"/>
      <c r="C11" s="6">
        <v>2018</v>
      </c>
      <c r="D11" s="6">
        <v>2019</v>
      </c>
      <c r="E11" s="6">
        <v>2020</v>
      </c>
      <c r="F11" s="6">
        <v>2021</v>
      </c>
      <c r="G11" s="6">
        <v>2022</v>
      </c>
      <c r="H11" s="6">
        <v>2023</v>
      </c>
      <c r="I11" s="10">
        <v>2024</v>
      </c>
      <c r="J11" s="6">
        <v>2018</v>
      </c>
      <c r="K11" s="6">
        <v>2019</v>
      </c>
      <c r="L11" s="6">
        <v>2020</v>
      </c>
      <c r="M11" s="6">
        <v>2021</v>
      </c>
      <c r="N11" s="6">
        <v>2022</v>
      </c>
      <c r="O11" s="6">
        <v>2023</v>
      </c>
      <c r="P11" s="10">
        <v>2024</v>
      </c>
      <c r="Q11" s="6">
        <v>2018</v>
      </c>
      <c r="R11" s="6">
        <v>2019</v>
      </c>
      <c r="S11" s="6">
        <v>2020</v>
      </c>
      <c r="T11" s="6">
        <v>2021</v>
      </c>
      <c r="U11" s="6">
        <v>2022</v>
      </c>
      <c r="V11" s="6">
        <v>2023</v>
      </c>
      <c r="W11" s="6">
        <v>2024</v>
      </c>
    </row>
    <row r="12" spans="2:23" ht="16.5" customHeight="1" x14ac:dyDescent="0.25">
      <c r="B12" s="30" t="s">
        <v>4</v>
      </c>
      <c r="C12" s="31">
        <v>135.34200000000001</v>
      </c>
      <c r="D12" s="31">
        <v>138.535</v>
      </c>
      <c r="E12" s="31">
        <v>155.708</v>
      </c>
      <c r="F12" s="31">
        <v>153.10900000000001</v>
      </c>
      <c r="G12" s="31">
        <v>143.315</v>
      </c>
      <c r="H12" s="31">
        <v>141.18100000000001</v>
      </c>
      <c r="I12" s="32">
        <v>135.196</v>
      </c>
      <c r="J12" s="31">
        <v>83.494</v>
      </c>
      <c r="K12" s="31">
        <v>80.924000000000007</v>
      </c>
      <c r="L12" s="31">
        <v>92.116</v>
      </c>
      <c r="M12" s="31">
        <v>96.697000000000003</v>
      </c>
      <c r="N12" s="31">
        <v>83.430999999999997</v>
      </c>
      <c r="O12" s="31">
        <v>81.525000000000006</v>
      </c>
      <c r="P12" s="32">
        <v>79.665000000000006</v>
      </c>
      <c r="Q12" s="31">
        <v>51.847000000000001</v>
      </c>
      <c r="R12" s="31">
        <v>57.61</v>
      </c>
      <c r="S12" s="31">
        <v>63.591999999999999</v>
      </c>
      <c r="T12" s="31">
        <v>56.411999999999999</v>
      </c>
      <c r="U12" s="31">
        <v>59.884999999999998</v>
      </c>
      <c r="V12" s="31">
        <v>59.655999999999999</v>
      </c>
      <c r="W12" s="31">
        <v>55.530999999999999</v>
      </c>
    </row>
    <row r="13" spans="2:23" ht="16.5" customHeight="1" x14ac:dyDescent="0.25">
      <c r="B13" s="26" t="s">
        <v>5</v>
      </c>
      <c r="C13" s="33">
        <v>95.995000000000005</v>
      </c>
      <c r="D13" s="33">
        <v>97.32</v>
      </c>
      <c r="E13" s="33">
        <v>103.886</v>
      </c>
      <c r="F13" s="33">
        <v>98.201999999999998</v>
      </c>
      <c r="G13" s="33">
        <v>93.703000000000003</v>
      </c>
      <c r="H13" s="33">
        <v>86.801000000000002</v>
      </c>
      <c r="I13" s="34">
        <v>87.519000000000005</v>
      </c>
      <c r="J13" s="33">
        <v>57.588000000000001</v>
      </c>
      <c r="K13" s="33">
        <v>56.731000000000002</v>
      </c>
      <c r="L13" s="33">
        <v>62.393000000000001</v>
      </c>
      <c r="M13" s="33">
        <v>60.402000000000001</v>
      </c>
      <c r="N13" s="33">
        <v>60.46</v>
      </c>
      <c r="O13" s="33">
        <v>52.893999999999998</v>
      </c>
      <c r="P13" s="34">
        <v>54.457000000000001</v>
      </c>
      <c r="Q13" s="33">
        <v>38.406999999999996</v>
      </c>
      <c r="R13" s="33">
        <v>40.588999999999999</v>
      </c>
      <c r="S13" s="33">
        <v>41.491999999999997</v>
      </c>
      <c r="T13" s="33">
        <v>37.799999999999997</v>
      </c>
      <c r="U13" s="33">
        <v>33.243000000000002</v>
      </c>
      <c r="V13" s="33">
        <v>33.906999999999996</v>
      </c>
      <c r="W13" s="33">
        <v>33.061999999999998</v>
      </c>
    </row>
    <row r="14" spans="2:23" ht="16.5" customHeight="1" x14ac:dyDescent="0.25">
      <c r="B14" s="26" t="s">
        <v>6</v>
      </c>
      <c r="C14" s="33">
        <v>209.15299999999999</v>
      </c>
      <c r="D14" s="33">
        <v>208.09800000000001</v>
      </c>
      <c r="E14" s="33">
        <v>231.32400000000001</v>
      </c>
      <c r="F14" s="33">
        <v>217.999</v>
      </c>
      <c r="G14" s="33">
        <v>202.64400000000001</v>
      </c>
      <c r="H14" s="33">
        <v>206.25399999999999</v>
      </c>
      <c r="I14" s="34">
        <v>195.83600000000001</v>
      </c>
      <c r="J14" s="33">
        <v>124.316</v>
      </c>
      <c r="K14" s="33">
        <v>118.005</v>
      </c>
      <c r="L14" s="33">
        <v>131.90700000000001</v>
      </c>
      <c r="M14" s="33">
        <v>127.04</v>
      </c>
      <c r="N14" s="33">
        <v>122.065</v>
      </c>
      <c r="O14" s="33">
        <v>118.93899999999999</v>
      </c>
      <c r="P14" s="34">
        <v>108.38</v>
      </c>
      <c r="Q14" s="33">
        <v>84.835999999999999</v>
      </c>
      <c r="R14" s="33">
        <v>90.093000000000004</v>
      </c>
      <c r="S14" s="33">
        <v>99.417000000000002</v>
      </c>
      <c r="T14" s="33">
        <v>90.957999999999998</v>
      </c>
      <c r="U14" s="33">
        <v>80.578999999999994</v>
      </c>
      <c r="V14" s="33">
        <v>87.314999999999998</v>
      </c>
      <c r="W14" s="33">
        <v>87.456000000000003</v>
      </c>
    </row>
    <row r="15" spans="2:23" ht="16.5" customHeight="1" x14ac:dyDescent="0.25">
      <c r="B15" s="26" t="s">
        <v>20</v>
      </c>
      <c r="C15" s="33">
        <v>44.265999999999998</v>
      </c>
      <c r="D15" s="33">
        <v>38.723999999999997</v>
      </c>
      <c r="E15" s="33">
        <v>43.13</v>
      </c>
      <c r="F15" s="33">
        <v>44.526000000000003</v>
      </c>
      <c r="G15" s="33">
        <v>40.692999999999998</v>
      </c>
      <c r="H15" s="33">
        <v>34.290999999999997</v>
      </c>
      <c r="I15" s="34">
        <v>41.637</v>
      </c>
      <c r="J15" s="33">
        <v>27.527000000000001</v>
      </c>
      <c r="K15" s="33">
        <v>21.206</v>
      </c>
      <c r="L15" s="33">
        <v>27.917999999999999</v>
      </c>
      <c r="M15" s="33">
        <v>27.95</v>
      </c>
      <c r="N15" s="33">
        <v>27.693999999999999</v>
      </c>
      <c r="O15" s="33">
        <v>21.869</v>
      </c>
      <c r="P15" s="34">
        <v>22.579000000000001</v>
      </c>
      <c r="Q15" s="33">
        <v>16.739000000000001</v>
      </c>
      <c r="R15" s="33">
        <v>17.518000000000001</v>
      </c>
      <c r="S15" s="33">
        <v>15.212999999999999</v>
      </c>
      <c r="T15" s="33">
        <v>16.576000000000001</v>
      </c>
      <c r="U15" s="33">
        <v>12.999000000000001</v>
      </c>
      <c r="V15" s="33">
        <v>12.422000000000001</v>
      </c>
      <c r="W15" s="33">
        <v>19.058</v>
      </c>
    </row>
    <row r="16" spans="2:23" ht="16.5" customHeight="1" x14ac:dyDescent="0.25">
      <c r="B16" s="26" t="s">
        <v>21</v>
      </c>
      <c r="C16" s="33">
        <v>43.085999999999999</v>
      </c>
      <c r="D16" s="33">
        <v>44.878999999999998</v>
      </c>
      <c r="E16" s="33">
        <v>51.941000000000003</v>
      </c>
      <c r="F16" s="33">
        <v>53.862000000000002</v>
      </c>
      <c r="G16" s="33">
        <v>40.595999999999997</v>
      </c>
      <c r="H16" s="33">
        <v>36.984999999999999</v>
      </c>
      <c r="I16" s="34">
        <v>45.472000000000001</v>
      </c>
      <c r="J16" s="33">
        <v>28.873000000000001</v>
      </c>
      <c r="K16" s="33">
        <v>30.222999999999999</v>
      </c>
      <c r="L16" s="33">
        <v>33.795999999999999</v>
      </c>
      <c r="M16" s="33">
        <v>31.55</v>
      </c>
      <c r="N16" s="33">
        <v>23.887</v>
      </c>
      <c r="O16" s="33">
        <v>22.312000000000001</v>
      </c>
      <c r="P16" s="34">
        <v>29.341000000000001</v>
      </c>
      <c r="Q16" s="33">
        <v>14.212999999999999</v>
      </c>
      <c r="R16" s="33">
        <v>14.656000000000001</v>
      </c>
      <c r="S16" s="33">
        <v>18.143999999999998</v>
      </c>
      <c r="T16" s="33">
        <v>22.311</v>
      </c>
      <c r="U16" s="33">
        <v>16.709</v>
      </c>
      <c r="V16" s="33">
        <v>14.673</v>
      </c>
      <c r="W16" s="33">
        <v>16.131</v>
      </c>
    </row>
    <row r="17" spans="2:23" ht="16.5" customHeight="1" x14ac:dyDescent="0.25">
      <c r="B17" s="26" t="s">
        <v>7</v>
      </c>
      <c r="C17" s="33">
        <v>52.38</v>
      </c>
      <c r="D17" s="33">
        <v>55.802999999999997</v>
      </c>
      <c r="E17" s="33">
        <v>65.254000000000005</v>
      </c>
      <c r="F17" s="33">
        <v>66.552999999999997</v>
      </c>
      <c r="G17" s="33">
        <v>61.119</v>
      </c>
      <c r="H17" s="33">
        <v>59.481000000000002</v>
      </c>
      <c r="I17" s="34">
        <v>61.914000000000001</v>
      </c>
      <c r="J17" s="33">
        <v>32.222000000000001</v>
      </c>
      <c r="K17" s="33">
        <v>31.027000000000001</v>
      </c>
      <c r="L17" s="33">
        <v>37.381</v>
      </c>
      <c r="M17" s="33">
        <v>39.47</v>
      </c>
      <c r="N17" s="33">
        <v>36.930999999999997</v>
      </c>
      <c r="O17" s="33">
        <v>33.945999999999998</v>
      </c>
      <c r="P17" s="34">
        <v>39.804000000000002</v>
      </c>
      <c r="Q17" s="33">
        <v>20.158000000000001</v>
      </c>
      <c r="R17" s="33">
        <v>24.776</v>
      </c>
      <c r="S17" s="33">
        <v>27.873000000000001</v>
      </c>
      <c r="T17" s="33">
        <v>27.082999999999998</v>
      </c>
      <c r="U17" s="33">
        <v>24.187999999999999</v>
      </c>
      <c r="V17" s="33">
        <v>25.535</v>
      </c>
      <c r="W17" s="33">
        <v>22.11</v>
      </c>
    </row>
    <row r="18" spans="2:23" ht="16.5" customHeight="1" x14ac:dyDescent="0.25">
      <c r="B18" s="26" t="s">
        <v>22</v>
      </c>
      <c r="C18" s="33">
        <v>54.262</v>
      </c>
      <c r="D18" s="33">
        <v>50.545000000000002</v>
      </c>
      <c r="E18" s="33">
        <v>63.206000000000003</v>
      </c>
      <c r="F18" s="33">
        <v>58.704999999999998</v>
      </c>
      <c r="G18" s="33">
        <v>51.043999999999997</v>
      </c>
      <c r="H18" s="33">
        <v>52.576000000000001</v>
      </c>
      <c r="I18" s="34">
        <v>53.875999999999998</v>
      </c>
      <c r="J18" s="33">
        <v>29.68</v>
      </c>
      <c r="K18" s="33">
        <v>28.199000000000002</v>
      </c>
      <c r="L18" s="33">
        <v>39.122999999999998</v>
      </c>
      <c r="M18" s="33">
        <v>33.453000000000003</v>
      </c>
      <c r="N18" s="33">
        <v>29.361999999999998</v>
      </c>
      <c r="O18" s="33">
        <v>31.09</v>
      </c>
      <c r="P18" s="34">
        <v>34.579000000000001</v>
      </c>
      <c r="Q18" s="33">
        <v>24.582000000000001</v>
      </c>
      <c r="R18" s="33">
        <v>22.346</v>
      </c>
      <c r="S18" s="33">
        <v>24.082999999999998</v>
      </c>
      <c r="T18" s="33">
        <v>25.251000000000001</v>
      </c>
      <c r="U18" s="33">
        <v>21.681999999999999</v>
      </c>
      <c r="V18" s="33">
        <v>21.484999999999999</v>
      </c>
      <c r="W18" s="33">
        <v>19.297000000000001</v>
      </c>
    </row>
    <row r="19" spans="2:23" ht="16.5" customHeight="1" x14ac:dyDescent="0.25">
      <c r="B19" s="26" t="s">
        <v>8</v>
      </c>
      <c r="C19" s="33">
        <v>492.90499999999997</v>
      </c>
      <c r="D19" s="33">
        <v>504.00200000000001</v>
      </c>
      <c r="E19" s="33">
        <v>543.79399999999998</v>
      </c>
      <c r="F19" s="33">
        <v>528.59100000000001</v>
      </c>
      <c r="G19" s="33">
        <v>516.20500000000004</v>
      </c>
      <c r="H19" s="33">
        <v>487.66899999999998</v>
      </c>
      <c r="I19" s="34">
        <v>483.46</v>
      </c>
      <c r="J19" s="33">
        <v>300.83600000000001</v>
      </c>
      <c r="K19" s="33">
        <v>312.83100000000002</v>
      </c>
      <c r="L19" s="33">
        <v>339.78500000000003</v>
      </c>
      <c r="M19" s="33">
        <v>319.25200000000001</v>
      </c>
      <c r="N19" s="33">
        <v>306.08999999999997</v>
      </c>
      <c r="O19" s="33">
        <v>295.036</v>
      </c>
      <c r="P19" s="34">
        <v>292.93099999999998</v>
      </c>
      <c r="Q19" s="33">
        <v>192.06899999999999</v>
      </c>
      <c r="R19" s="33">
        <v>191.17099999999999</v>
      </c>
      <c r="S19" s="33">
        <v>204.01</v>
      </c>
      <c r="T19" s="33">
        <v>209.339</v>
      </c>
      <c r="U19" s="33">
        <v>210.11500000000001</v>
      </c>
      <c r="V19" s="33">
        <v>192.63200000000001</v>
      </c>
      <c r="W19" s="33">
        <v>190.52799999999999</v>
      </c>
    </row>
    <row r="20" spans="2:23" ht="16.5" customHeight="1" x14ac:dyDescent="0.25">
      <c r="B20" s="26" t="s">
        <v>9</v>
      </c>
      <c r="C20" s="33">
        <v>273.21699999999998</v>
      </c>
      <c r="D20" s="33">
        <v>271.91800000000001</v>
      </c>
      <c r="E20" s="33">
        <v>292.98599999999999</v>
      </c>
      <c r="F20" s="33">
        <v>275.36799999999999</v>
      </c>
      <c r="G20" s="33">
        <v>261.70299999999997</v>
      </c>
      <c r="H20" s="33">
        <v>241.31899999999999</v>
      </c>
      <c r="I20" s="34">
        <v>237.17400000000001</v>
      </c>
      <c r="J20" s="33">
        <v>179.51499999999999</v>
      </c>
      <c r="K20" s="33">
        <v>178.67</v>
      </c>
      <c r="L20" s="33">
        <v>187.786</v>
      </c>
      <c r="M20" s="33">
        <v>181.89099999999999</v>
      </c>
      <c r="N20" s="33">
        <v>173.291</v>
      </c>
      <c r="O20" s="33">
        <v>164.816</v>
      </c>
      <c r="P20" s="34">
        <v>164.85599999999999</v>
      </c>
      <c r="Q20" s="33">
        <v>93.701999999999998</v>
      </c>
      <c r="R20" s="33">
        <v>93.248000000000005</v>
      </c>
      <c r="S20" s="33">
        <v>105.2</v>
      </c>
      <c r="T20" s="33">
        <v>93.477999999999994</v>
      </c>
      <c r="U20" s="33">
        <v>88.412000000000006</v>
      </c>
      <c r="V20" s="33">
        <v>76.504000000000005</v>
      </c>
      <c r="W20" s="33">
        <v>72.317999999999998</v>
      </c>
    </row>
    <row r="21" spans="2:23" ht="16.5" customHeight="1" x14ac:dyDescent="0.25">
      <c r="B21" s="26" t="s">
        <v>23</v>
      </c>
      <c r="C21" s="33">
        <v>89.284999999999997</v>
      </c>
      <c r="D21" s="33">
        <v>81.284000000000006</v>
      </c>
      <c r="E21" s="33">
        <v>82.49</v>
      </c>
      <c r="F21" s="33">
        <v>82.353999999999999</v>
      </c>
      <c r="G21" s="33">
        <v>79.260000000000005</v>
      </c>
      <c r="H21" s="33">
        <v>72.501999999999995</v>
      </c>
      <c r="I21" s="34">
        <v>73.418000000000006</v>
      </c>
      <c r="J21" s="33">
        <v>53.445</v>
      </c>
      <c r="K21" s="33">
        <v>52.689</v>
      </c>
      <c r="L21" s="33">
        <v>51.207000000000001</v>
      </c>
      <c r="M21" s="33">
        <v>52.51</v>
      </c>
      <c r="N21" s="33">
        <v>51.808</v>
      </c>
      <c r="O21" s="33">
        <v>49.194000000000003</v>
      </c>
      <c r="P21" s="34">
        <v>48.613999999999997</v>
      </c>
      <c r="Q21" s="33">
        <v>35.840000000000003</v>
      </c>
      <c r="R21" s="33">
        <v>28.594999999999999</v>
      </c>
      <c r="S21" s="33">
        <v>31.283000000000001</v>
      </c>
      <c r="T21" s="33">
        <v>29.844000000000001</v>
      </c>
      <c r="U21" s="33">
        <v>27.452000000000002</v>
      </c>
      <c r="V21" s="33">
        <v>23.306999999999999</v>
      </c>
      <c r="W21" s="33">
        <v>24.803999999999998</v>
      </c>
    </row>
    <row r="22" spans="2:23" ht="16.5" customHeight="1" x14ac:dyDescent="0.25">
      <c r="B22" s="26" t="s">
        <v>24</v>
      </c>
      <c r="C22" s="33">
        <v>211.96700000000001</v>
      </c>
      <c r="D22" s="33">
        <v>208.44399999999999</v>
      </c>
      <c r="E22" s="33">
        <v>210.358</v>
      </c>
      <c r="F22" s="33">
        <v>187.69200000000001</v>
      </c>
      <c r="G22" s="33">
        <v>180.083</v>
      </c>
      <c r="H22" s="33">
        <v>174.95500000000001</v>
      </c>
      <c r="I22" s="34">
        <v>174.26300000000001</v>
      </c>
      <c r="J22" s="33">
        <v>129.98500000000001</v>
      </c>
      <c r="K22" s="33">
        <v>131.53399999999999</v>
      </c>
      <c r="L22" s="33">
        <v>131.08500000000001</v>
      </c>
      <c r="M22" s="33">
        <v>118.80800000000001</v>
      </c>
      <c r="N22" s="33">
        <v>113.247</v>
      </c>
      <c r="O22" s="33">
        <v>110.71299999999999</v>
      </c>
      <c r="P22" s="34">
        <v>109.07599999999999</v>
      </c>
      <c r="Q22" s="33">
        <v>81.980999999999995</v>
      </c>
      <c r="R22" s="33">
        <v>76.91</v>
      </c>
      <c r="S22" s="33">
        <v>79.272999999999996</v>
      </c>
      <c r="T22" s="33">
        <v>68.882999999999996</v>
      </c>
      <c r="U22" s="33">
        <v>66.834999999999994</v>
      </c>
      <c r="V22" s="33">
        <v>64.241</v>
      </c>
      <c r="W22" s="33">
        <v>65.186000000000007</v>
      </c>
    </row>
    <row r="23" spans="2:23" ht="16.5" customHeight="1" x14ac:dyDescent="0.25">
      <c r="B23" s="26" t="s">
        <v>25</v>
      </c>
      <c r="C23" s="33">
        <v>62.689</v>
      </c>
      <c r="D23" s="33">
        <v>62.018000000000001</v>
      </c>
      <c r="E23" s="33">
        <v>58.529000000000003</v>
      </c>
      <c r="F23" s="33">
        <v>58.598999999999997</v>
      </c>
      <c r="G23" s="33">
        <v>54.401000000000003</v>
      </c>
      <c r="H23" s="33">
        <v>54.134</v>
      </c>
      <c r="I23" s="34">
        <v>59.381999999999998</v>
      </c>
      <c r="J23" s="33">
        <v>42.277000000000001</v>
      </c>
      <c r="K23" s="33">
        <v>39.607999999999997</v>
      </c>
      <c r="L23" s="33">
        <v>41.173999999999999</v>
      </c>
      <c r="M23" s="33">
        <v>39.31</v>
      </c>
      <c r="N23" s="33">
        <v>34.994999999999997</v>
      </c>
      <c r="O23" s="33">
        <v>35.822000000000003</v>
      </c>
      <c r="P23" s="34">
        <v>37.667999999999999</v>
      </c>
      <c r="Q23" s="33">
        <v>20.413</v>
      </c>
      <c r="R23" s="33">
        <v>22.411000000000001</v>
      </c>
      <c r="S23" s="33">
        <v>17.355</v>
      </c>
      <c r="T23" s="33">
        <v>19.29</v>
      </c>
      <c r="U23" s="33">
        <v>19.405999999999999</v>
      </c>
      <c r="V23" s="33">
        <v>18.311</v>
      </c>
      <c r="W23" s="33">
        <v>21.713999999999999</v>
      </c>
    </row>
    <row r="24" spans="2:23" ht="16.5" customHeight="1" x14ac:dyDescent="0.25">
      <c r="B24" s="35" t="s">
        <v>26</v>
      </c>
      <c r="C24" s="36">
        <v>82.343000000000004</v>
      </c>
      <c r="D24" s="36">
        <v>83.037000000000006</v>
      </c>
      <c r="E24" s="36">
        <v>92.543999999999997</v>
      </c>
      <c r="F24" s="36">
        <v>89.227999999999994</v>
      </c>
      <c r="G24" s="36">
        <v>81.817999999999998</v>
      </c>
      <c r="H24" s="36">
        <v>71.506</v>
      </c>
      <c r="I24" s="37">
        <v>70.781999999999996</v>
      </c>
      <c r="J24" s="36">
        <v>52.578000000000003</v>
      </c>
      <c r="K24" s="36">
        <v>52.174999999999997</v>
      </c>
      <c r="L24" s="36">
        <v>57.73</v>
      </c>
      <c r="M24" s="36">
        <v>56.244999999999997</v>
      </c>
      <c r="N24" s="36">
        <v>53.701000000000001</v>
      </c>
      <c r="O24" s="36">
        <v>47.316000000000003</v>
      </c>
      <c r="P24" s="37">
        <v>47.959000000000003</v>
      </c>
      <c r="Q24" s="36">
        <v>29.765000000000001</v>
      </c>
      <c r="R24" s="36">
        <v>30.861999999999998</v>
      </c>
      <c r="S24" s="36">
        <v>34.814</v>
      </c>
      <c r="T24" s="36">
        <v>32.982999999999997</v>
      </c>
      <c r="U24" s="36">
        <v>28.117000000000001</v>
      </c>
      <c r="V24" s="36">
        <v>24.19</v>
      </c>
      <c r="W24" s="36">
        <v>22.823</v>
      </c>
    </row>
    <row r="25" spans="2:23" ht="16.5" customHeight="1" x14ac:dyDescent="0.25">
      <c r="B25" s="38" t="s">
        <v>40</v>
      </c>
      <c r="C25" s="39">
        <v>381.90499999999997</v>
      </c>
      <c r="D25" s="39">
        <v>394.64699999999999</v>
      </c>
      <c r="E25" s="39">
        <v>427.23899999999998</v>
      </c>
      <c r="F25" s="39">
        <v>412.15899999999999</v>
      </c>
      <c r="G25" s="39">
        <v>404.49700000000001</v>
      </c>
      <c r="H25" s="39">
        <v>394.95100000000002</v>
      </c>
      <c r="I25" s="40">
        <v>357.541</v>
      </c>
      <c r="J25" s="39">
        <v>235.708</v>
      </c>
      <c r="K25" s="39">
        <v>235.654</v>
      </c>
      <c r="L25" s="39">
        <v>255.86799999999999</v>
      </c>
      <c r="M25" s="39">
        <v>254.291</v>
      </c>
      <c r="N25" s="39">
        <v>247.12799999999999</v>
      </c>
      <c r="O25" s="39">
        <v>240.244</v>
      </c>
      <c r="P25" s="40">
        <v>222.06700000000001</v>
      </c>
      <c r="Q25" s="39">
        <v>146.196</v>
      </c>
      <c r="R25" s="39">
        <v>158.99299999999999</v>
      </c>
      <c r="S25" s="39">
        <v>171.37100000000001</v>
      </c>
      <c r="T25" s="39">
        <v>157.86799999999999</v>
      </c>
      <c r="U25" s="39">
        <v>157.37</v>
      </c>
      <c r="V25" s="39">
        <v>154.70699999999999</v>
      </c>
      <c r="W25" s="39">
        <v>135.47399999999999</v>
      </c>
    </row>
    <row r="26" spans="2:23" ht="16.5" customHeight="1" x14ac:dyDescent="0.25">
      <c r="B26" s="38" t="s">
        <v>11</v>
      </c>
      <c r="C26" s="39">
        <v>754.452</v>
      </c>
      <c r="D26" s="39">
        <v>756.99599999999998</v>
      </c>
      <c r="E26" s="39">
        <v>805.58399999999995</v>
      </c>
      <c r="F26" s="39">
        <v>780.17600000000004</v>
      </c>
      <c r="G26" s="39">
        <v>758.17100000000005</v>
      </c>
      <c r="H26" s="39">
        <v>739.077</v>
      </c>
      <c r="I26" s="40">
        <v>705.28099999999995</v>
      </c>
      <c r="J26" s="39">
        <v>472.51799999999997</v>
      </c>
      <c r="K26" s="39">
        <v>463.14100000000002</v>
      </c>
      <c r="L26" s="39">
        <v>488.779</v>
      </c>
      <c r="M26" s="39">
        <v>473.76799999999997</v>
      </c>
      <c r="N26" s="39">
        <v>464.35399999999998</v>
      </c>
      <c r="O26" s="39">
        <v>458.822</v>
      </c>
      <c r="P26" s="40">
        <v>437.85700000000003</v>
      </c>
      <c r="Q26" s="39">
        <v>281.93400000000003</v>
      </c>
      <c r="R26" s="39">
        <v>293.85399999999998</v>
      </c>
      <c r="S26" s="39">
        <v>316.80500000000001</v>
      </c>
      <c r="T26" s="39">
        <v>306.40800000000002</v>
      </c>
      <c r="U26" s="39">
        <v>293.81700000000001</v>
      </c>
      <c r="V26" s="39">
        <v>280.255</v>
      </c>
      <c r="W26" s="39">
        <v>267.42500000000001</v>
      </c>
    </row>
    <row r="27" spans="2:23" ht="16.5" customHeight="1" x14ac:dyDescent="0.25">
      <c r="B27" s="26" t="s">
        <v>12</v>
      </c>
      <c r="C27" s="33">
        <v>4833.7790000000005</v>
      </c>
      <c r="D27" s="33">
        <v>4777.9080000000004</v>
      </c>
      <c r="E27" s="33">
        <v>5159.9160000000002</v>
      </c>
      <c r="F27" s="33">
        <v>5037.1959999999999</v>
      </c>
      <c r="G27" s="33">
        <v>4842.0010000000002</v>
      </c>
      <c r="H27" s="33">
        <v>4664.6639999999998</v>
      </c>
      <c r="I27" s="34">
        <v>4717.3969999999999</v>
      </c>
      <c r="J27" s="33">
        <v>3041.9690000000001</v>
      </c>
      <c r="K27" s="33">
        <v>2985.335</v>
      </c>
      <c r="L27" s="33">
        <v>3194.3</v>
      </c>
      <c r="M27" s="33">
        <v>3090.395</v>
      </c>
      <c r="N27" s="33">
        <v>2994.59</v>
      </c>
      <c r="O27" s="33">
        <v>2888.837</v>
      </c>
      <c r="P27" s="34">
        <v>2924.2289999999998</v>
      </c>
      <c r="Q27" s="33">
        <v>1791.81</v>
      </c>
      <c r="R27" s="33">
        <v>1792.5730000000001</v>
      </c>
      <c r="S27" s="33">
        <v>1965.616</v>
      </c>
      <c r="T27" s="33">
        <v>1946.8009999999999</v>
      </c>
      <c r="U27" s="33">
        <v>1847.4110000000001</v>
      </c>
      <c r="V27" s="33">
        <v>1775.827</v>
      </c>
      <c r="W27" s="33">
        <v>1793.1679999999999</v>
      </c>
    </row>
    <row r="28" spans="2:23" ht="16.5" customHeight="1" x14ac:dyDescent="0.25">
      <c r="B28" s="26" t="s">
        <v>13</v>
      </c>
      <c r="C28" s="33">
        <v>2263.0729999999999</v>
      </c>
      <c r="D28" s="33">
        <v>2265.59</v>
      </c>
      <c r="E28" s="33">
        <v>2406.9659999999999</v>
      </c>
      <c r="F28" s="33">
        <v>2326.5540000000001</v>
      </c>
      <c r="G28" s="33">
        <v>2233.614</v>
      </c>
      <c r="H28" s="33">
        <v>2176.0320000000002</v>
      </c>
      <c r="I28" s="34">
        <v>2161.3380000000002</v>
      </c>
      <c r="J28" s="33">
        <v>1425.297</v>
      </c>
      <c r="K28" s="33">
        <v>1416.6420000000001</v>
      </c>
      <c r="L28" s="33">
        <v>1502.15</v>
      </c>
      <c r="M28" s="33">
        <v>1447.8040000000001</v>
      </c>
      <c r="N28" s="33">
        <v>1381.87</v>
      </c>
      <c r="O28" s="33">
        <v>1359.1310000000001</v>
      </c>
      <c r="P28" s="34">
        <v>1350.646</v>
      </c>
      <c r="Q28" s="33">
        <v>837.77599999999995</v>
      </c>
      <c r="R28" s="33">
        <v>848.94799999999998</v>
      </c>
      <c r="S28" s="33">
        <v>904.81600000000003</v>
      </c>
      <c r="T28" s="33">
        <v>878.75</v>
      </c>
      <c r="U28" s="33">
        <v>851.745</v>
      </c>
      <c r="V28" s="33">
        <v>816.90099999999995</v>
      </c>
      <c r="W28" s="33">
        <v>810.69200000000001</v>
      </c>
    </row>
    <row r="29" spans="2:23" ht="16.5" customHeight="1" x14ac:dyDescent="0.25">
      <c r="B29" s="35" t="s">
        <v>19</v>
      </c>
      <c r="C29" s="36">
        <v>6037.0820000000003</v>
      </c>
      <c r="D29" s="36">
        <v>5995.3019999999997</v>
      </c>
      <c r="E29" s="36">
        <v>6221.4859999999999</v>
      </c>
      <c r="F29" s="36">
        <v>5964.6</v>
      </c>
      <c r="G29" s="36">
        <v>5768.9709999999995</v>
      </c>
      <c r="H29" s="36">
        <v>5535.8389999999999</v>
      </c>
      <c r="I29" s="37">
        <v>5553.4979999999996</v>
      </c>
      <c r="J29" s="36">
        <v>3916.5990000000002</v>
      </c>
      <c r="K29" s="36">
        <v>3886.62</v>
      </c>
      <c r="L29" s="36">
        <v>3993.9879999999998</v>
      </c>
      <c r="M29" s="36">
        <v>3849.7579999999998</v>
      </c>
      <c r="N29" s="36">
        <v>3743.95</v>
      </c>
      <c r="O29" s="36">
        <v>3605.558</v>
      </c>
      <c r="P29" s="37">
        <v>3611.3139999999999</v>
      </c>
      <c r="Q29" s="36">
        <v>2120.4830000000002</v>
      </c>
      <c r="R29" s="36">
        <v>2108.6819999999998</v>
      </c>
      <c r="S29" s="36">
        <v>2227.498</v>
      </c>
      <c r="T29" s="36">
        <v>2114.8409999999999</v>
      </c>
      <c r="U29" s="36">
        <v>2025.021</v>
      </c>
      <c r="V29" s="36">
        <v>1930.2809999999999</v>
      </c>
      <c r="W29" s="36">
        <v>1942.184</v>
      </c>
    </row>
    <row r="30" spans="2:23" ht="16.5" customHeight="1" x14ac:dyDescent="0.25">
      <c r="B30" s="28" t="s">
        <v>14</v>
      </c>
      <c r="C30" s="41">
        <v>13133.933999999999</v>
      </c>
      <c r="D30" s="41">
        <v>13038.8</v>
      </c>
      <c r="E30" s="41">
        <v>13788.369000000001</v>
      </c>
      <c r="F30" s="41">
        <v>13328.35</v>
      </c>
      <c r="G30" s="41">
        <v>12844.585999999999</v>
      </c>
      <c r="H30" s="41">
        <v>12376.535</v>
      </c>
      <c r="I30" s="42">
        <v>12432.233</v>
      </c>
      <c r="J30" s="41">
        <v>8383.8649999999998</v>
      </c>
      <c r="K30" s="41">
        <v>8288.5969999999998</v>
      </c>
      <c r="L30" s="41">
        <v>8690.4390000000003</v>
      </c>
      <c r="M30" s="41">
        <v>8387.9570000000003</v>
      </c>
      <c r="N30" s="41">
        <v>8120.4089999999997</v>
      </c>
      <c r="O30" s="41">
        <v>7853.5259999999998</v>
      </c>
      <c r="P30" s="42">
        <v>7886.1890000000003</v>
      </c>
      <c r="Q30" s="41">
        <v>4750.0690000000004</v>
      </c>
      <c r="R30" s="41">
        <v>4750.2030000000004</v>
      </c>
      <c r="S30" s="41">
        <v>5097.93</v>
      </c>
      <c r="T30" s="41">
        <v>4940.3919999999998</v>
      </c>
      <c r="U30" s="41">
        <v>4724.1769999999997</v>
      </c>
      <c r="V30" s="41">
        <v>4523.009</v>
      </c>
      <c r="W30" s="41">
        <v>4546.0429999999997</v>
      </c>
    </row>
    <row r="31" spans="2:23" ht="16.5" customHeight="1" x14ac:dyDescent="0.3">
      <c r="B31" s="1"/>
      <c r="C31" s="1"/>
      <c r="D31" s="1"/>
      <c r="E31" s="1"/>
      <c r="F31" s="1"/>
      <c r="G31" s="1"/>
      <c r="H31" s="1"/>
      <c r="I31" s="1"/>
      <c r="J31" s="1"/>
      <c r="K31" s="1"/>
      <c r="L31" s="1"/>
      <c r="M31" s="1"/>
      <c r="N31" s="1"/>
      <c r="O31" s="1"/>
      <c r="P31" s="1"/>
      <c r="Q31" s="1"/>
      <c r="R31" s="1"/>
      <c r="S31" s="1"/>
      <c r="T31" s="1"/>
      <c r="U31" s="1"/>
      <c r="V31" s="1"/>
      <c r="W31" s="1"/>
    </row>
    <row r="32" spans="2:23" ht="16.5" customHeight="1" x14ac:dyDescent="0.3">
      <c r="B32" s="1"/>
      <c r="C32" s="1"/>
      <c r="D32" s="1"/>
      <c r="E32" s="1"/>
      <c r="F32" s="1"/>
      <c r="G32" s="1"/>
      <c r="H32" s="1"/>
      <c r="I32" s="1"/>
      <c r="J32" s="1"/>
      <c r="K32" s="1"/>
      <c r="L32" s="1"/>
      <c r="M32" s="1"/>
      <c r="N32" s="1"/>
      <c r="O32" s="1"/>
      <c r="P32" s="1"/>
      <c r="Q32" s="1"/>
      <c r="R32" s="1"/>
      <c r="S32" s="1"/>
      <c r="T32" s="1"/>
      <c r="U32" s="1"/>
      <c r="V32" s="1"/>
      <c r="W32" s="1"/>
    </row>
    <row r="33" spans="2:26" ht="16.5" customHeight="1" x14ac:dyDescent="0.25">
      <c r="B33" s="80" t="s">
        <v>31</v>
      </c>
      <c r="C33" s="80"/>
      <c r="D33" s="80"/>
      <c r="E33" s="80"/>
      <c r="F33" s="80"/>
      <c r="G33" s="80"/>
      <c r="H33" s="80"/>
      <c r="I33" s="80"/>
      <c r="J33" s="80"/>
      <c r="K33" s="80"/>
      <c r="L33" s="80"/>
      <c r="M33" s="80"/>
      <c r="N33" s="80"/>
      <c r="O33" s="80"/>
      <c r="P33" s="80"/>
      <c r="Q33" s="80"/>
      <c r="R33" s="80"/>
      <c r="S33" s="80"/>
      <c r="T33" s="80"/>
      <c r="U33" s="80"/>
      <c r="V33" s="80"/>
      <c r="W33" s="80"/>
    </row>
    <row r="34" spans="2:26" ht="16.5" customHeight="1" x14ac:dyDescent="0.25">
      <c r="B34" s="85" t="s">
        <v>16</v>
      </c>
      <c r="C34" s="81" t="s">
        <v>15</v>
      </c>
      <c r="D34" s="80"/>
      <c r="E34" s="80"/>
      <c r="F34" s="80"/>
      <c r="G34" s="80"/>
      <c r="H34" s="80"/>
      <c r="I34" s="88"/>
      <c r="J34" s="80" t="s">
        <v>17</v>
      </c>
      <c r="K34" s="80"/>
      <c r="L34" s="80"/>
      <c r="M34" s="80"/>
      <c r="N34" s="80"/>
      <c r="O34" s="80"/>
      <c r="P34" s="80"/>
      <c r="Q34" s="81" t="s">
        <v>18</v>
      </c>
      <c r="R34" s="80"/>
      <c r="S34" s="80"/>
      <c r="T34" s="80"/>
      <c r="U34" s="80"/>
      <c r="V34" s="80"/>
      <c r="W34" s="80"/>
    </row>
    <row r="35" spans="2:26" ht="16.5" customHeight="1" x14ac:dyDescent="0.25">
      <c r="B35" s="87"/>
      <c r="C35" s="6">
        <v>2018</v>
      </c>
      <c r="D35" s="6">
        <v>2019</v>
      </c>
      <c r="E35" s="6">
        <v>2020</v>
      </c>
      <c r="F35" s="6">
        <v>2021</v>
      </c>
      <c r="G35" s="6">
        <v>2022</v>
      </c>
      <c r="H35" s="6">
        <v>2023</v>
      </c>
      <c r="I35" s="6">
        <v>2024</v>
      </c>
      <c r="J35" s="6">
        <v>2018</v>
      </c>
      <c r="K35" s="6">
        <v>2019</v>
      </c>
      <c r="L35" s="6">
        <v>2020</v>
      </c>
      <c r="M35" s="6">
        <v>2021</v>
      </c>
      <c r="N35" s="6">
        <v>2022</v>
      </c>
      <c r="O35" s="6">
        <v>2023</v>
      </c>
      <c r="P35" s="6">
        <v>2023</v>
      </c>
      <c r="Q35" s="8">
        <v>2018</v>
      </c>
      <c r="R35" s="6">
        <v>2019</v>
      </c>
      <c r="S35" s="6">
        <v>2020</v>
      </c>
      <c r="T35" s="6">
        <v>2021</v>
      </c>
      <c r="U35" s="6">
        <v>2022</v>
      </c>
      <c r="V35" s="6">
        <v>2023</v>
      </c>
      <c r="W35" s="6">
        <v>2024</v>
      </c>
      <c r="Z35" s="72"/>
    </row>
    <row r="36" spans="2:26" ht="16.5" customHeight="1" x14ac:dyDescent="0.25">
      <c r="B36" s="30" t="s">
        <v>4</v>
      </c>
      <c r="C36" s="43">
        <v>25.34684</v>
      </c>
      <c r="D36" s="43">
        <v>26.184956</v>
      </c>
      <c r="E36" s="43">
        <v>29.543396999999999</v>
      </c>
      <c r="F36" s="43">
        <v>29.257145000000001</v>
      </c>
      <c r="G36" s="43">
        <v>27.409711999999999</v>
      </c>
      <c r="H36" s="43">
        <v>27.305250999999998</v>
      </c>
      <c r="I36" s="44">
        <v>25.827327</v>
      </c>
      <c r="J36" s="43">
        <v>30.853686</v>
      </c>
      <c r="K36" s="43">
        <v>30.210629999999998</v>
      </c>
      <c r="L36" s="43">
        <v>34.536552999999998</v>
      </c>
      <c r="M36" s="43">
        <v>36.552463000000003</v>
      </c>
      <c r="N36" s="43">
        <v>31.651305000000001</v>
      </c>
      <c r="O36" s="43">
        <v>31.413025000000001</v>
      </c>
      <c r="P36" s="44">
        <v>30.366371000000001</v>
      </c>
      <c r="Q36" s="43">
        <v>19.688010999999999</v>
      </c>
      <c r="R36" s="43">
        <v>22.056443000000002</v>
      </c>
      <c r="S36" s="43">
        <v>24.427595</v>
      </c>
      <c r="T36" s="43">
        <v>21.799295999999998</v>
      </c>
      <c r="U36" s="43">
        <v>23.097387999999999</v>
      </c>
      <c r="V36" s="43">
        <v>23.165469999999999</v>
      </c>
      <c r="W36" s="43">
        <v>21.266874000000001</v>
      </c>
    </row>
    <row r="37" spans="2:26" ht="16.5" customHeight="1" x14ac:dyDescent="0.25">
      <c r="B37" s="26" t="s">
        <v>5</v>
      </c>
      <c r="C37" s="45">
        <v>28.131703000000002</v>
      </c>
      <c r="D37" s="45">
        <v>28.690021999999999</v>
      </c>
      <c r="E37" s="45">
        <v>30.844080000000002</v>
      </c>
      <c r="F37" s="45">
        <v>29.373083999999999</v>
      </c>
      <c r="G37" s="45">
        <v>27.947261000000001</v>
      </c>
      <c r="H37" s="45">
        <v>25.933150999999999</v>
      </c>
      <c r="I37" s="46">
        <v>25.974015000000001</v>
      </c>
      <c r="J37" s="45">
        <v>33.156806000000003</v>
      </c>
      <c r="K37" s="45">
        <v>32.878836999999997</v>
      </c>
      <c r="L37" s="45">
        <v>36.444825999999999</v>
      </c>
      <c r="M37" s="45">
        <v>35.838481000000002</v>
      </c>
      <c r="N37" s="45">
        <v>35.635925</v>
      </c>
      <c r="O37" s="45">
        <v>31.370135000000001</v>
      </c>
      <c r="P37" s="46">
        <v>32.157522</v>
      </c>
      <c r="Q37" s="45">
        <v>22.922615</v>
      </c>
      <c r="R37" s="45">
        <v>24.35341</v>
      </c>
      <c r="S37" s="45">
        <v>25.054296000000001</v>
      </c>
      <c r="T37" s="45">
        <v>22.800350000000002</v>
      </c>
      <c r="U37" s="45">
        <v>20.071352999999998</v>
      </c>
      <c r="V37" s="45">
        <v>20.413820999999999</v>
      </c>
      <c r="W37" s="45">
        <v>19.726308</v>
      </c>
    </row>
    <row r="38" spans="2:26" ht="16.5" customHeight="1" x14ac:dyDescent="0.25">
      <c r="B38" s="26" t="s">
        <v>6</v>
      </c>
      <c r="C38" s="45">
        <v>23.944800999999998</v>
      </c>
      <c r="D38" s="45">
        <v>23.491344999999999</v>
      </c>
      <c r="E38" s="45">
        <v>25.858976999999999</v>
      </c>
      <c r="F38" s="45">
        <v>24.468715</v>
      </c>
      <c r="G38" s="45">
        <v>23.028134999999999</v>
      </c>
      <c r="H38" s="45">
        <v>23.633295</v>
      </c>
      <c r="I38" s="46">
        <v>22.150041999999999</v>
      </c>
      <c r="J38" s="45">
        <v>28.379059999999999</v>
      </c>
      <c r="K38" s="45">
        <v>26.617087000000001</v>
      </c>
      <c r="L38" s="45">
        <v>29.479654</v>
      </c>
      <c r="M38" s="45">
        <v>28.506336000000001</v>
      </c>
      <c r="N38" s="45">
        <v>27.755901000000001</v>
      </c>
      <c r="O38" s="45">
        <v>27.394026</v>
      </c>
      <c r="P38" s="46">
        <v>24.683624999999999</v>
      </c>
      <c r="Q38" s="45">
        <v>19.483705</v>
      </c>
      <c r="R38" s="45">
        <v>20.359677000000001</v>
      </c>
      <c r="S38" s="45">
        <v>22.235509</v>
      </c>
      <c r="T38" s="45">
        <v>20.427603999999999</v>
      </c>
      <c r="U38" s="45">
        <v>18.304928</v>
      </c>
      <c r="V38" s="45">
        <v>19.910053000000001</v>
      </c>
      <c r="W38" s="45">
        <v>19.650493000000001</v>
      </c>
    </row>
    <row r="39" spans="2:26" ht="16.5" customHeight="1" x14ac:dyDescent="0.25">
      <c r="B39" s="26" t="s">
        <v>20</v>
      </c>
      <c r="C39" s="45">
        <v>27.891819000000002</v>
      </c>
      <c r="D39" s="45">
        <v>24.327345000000001</v>
      </c>
      <c r="E39" s="45">
        <v>27.03556</v>
      </c>
      <c r="F39" s="45">
        <v>27.942108999999999</v>
      </c>
      <c r="G39" s="45">
        <v>25.884713999999999</v>
      </c>
      <c r="H39" s="45">
        <v>21.714918999999998</v>
      </c>
      <c r="I39" s="46">
        <v>26.692689000000001</v>
      </c>
      <c r="J39" s="45">
        <v>34.041120999999997</v>
      </c>
      <c r="K39" s="45">
        <v>26.168261999999999</v>
      </c>
      <c r="L39" s="45">
        <v>34.355500999999997</v>
      </c>
      <c r="M39" s="45">
        <v>34.488804000000002</v>
      </c>
      <c r="N39" s="45">
        <v>34.571826999999999</v>
      </c>
      <c r="O39" s="45">
        <v>27.313511999999999</v>
      </c>
      <c r="P39" s="46">
        <v>29.297892999999998</v>
      </c>
      <c r="Q39" s="45">
        <v>21.503786000000002</v>
      </c>
      <c r="R39" s="45">
        <v>22.418272999999999</v>
      </c>
      <c r="S39" s="45">
        <v>19.435903</v>
      </c>
      <c r="T39" s="45">
        <v>21.167134999999998</v>
      </c>
      <c r="U39" s="45">
        <v>16.859224999999999</v>
      </c>
      <c r="V39" s="45">
        <v>15.956732000000001</v>
      </c>
      <c r="W39" s="45">
        <v>24.148648000000001</v>
      </c>
    </row>
    <row r="40" spans="2:26" ht="16.5" customHeight="1" x14ac:dyDescent="0.25">
      <c r="B40" s="26" t="s">
        <v>21</v>
      </c>
      <c r="C40" s="45">
        <v>27.460028999999999</v>
      </c>
      <c r="D40" s="45">
        <v>28.660606000000001</v>
      </c>
      <c r="E40" s="45">
        <v>33.389974000000002</v>
      </c>
      <c r="F40" s="45">
        <v>34.915252000000002</v>
      </c>
      <c r="G40" s="45">
        <v>26.076751999999999</v>
      </c>
      <c r="H40" s="45">
        <v>24.478708999999998</v>
      </c>
      <c r="I40" s="46">
        <v>30.033702999999999</v>
      </c>
      <c r="J40" s="45">
        <v>36.329062999999998</v>
      </c>
      <c r="K40" s="45">
        <v>38.237833999999999</v>
      </c>
      <c r="L40" s="45">
        <v>43.108834999999999</v>
      </c>
      <c r="M40" s="45">
        <v>40.688298000000003</v>
      </c>
      <c r="N40" s="45">
        <v>30.782273</v>
      </c>
      <c r="O40" s="45">
        <v>29.636095999999998</v>
      </c>
      <c r="P40" s="46">
        <v>39.982796</v>
      </c>
      <c r="Q40" s="45">
        <v>18.35652</v>
      </c>
      <c r="R40" s="45">
        <v>18.899135999999999</v>
      </c>
      <c r="S40" s="45">
        <v>23.515075</v>
      </c>
      <c r="T40" s="45">
        <v>29.080627</v>
      </c>
      <c r="U40" s="45">
        <v>21.399967</v>
      </c>
      <c r="V40" s="45">
        <v>19.356515999999999</v>
      </c>
      <c r="W40" s="45">
        <v>20.675564000000001</v>
      </c>
    </row>
    <row r="41" spans="2:26" ht="16.5" customHeight="1" x14ac:dyDescent="0.25">
      <c r="B41" s="26" t="s">
        <v>7</v>
      </c>
      <c r="C41" s="45">
        <v>21.470891000000002</v>
      </c>
      <c r="D41" s="45">
        <v>22.692111000000001</v>
      </c>
      <c r="E41" s="45">
        <v>26.322037000000002</v>
      </c>
      <c r="F41" s="45">
        <v>26.848872</v>
      </c>
      <c r="G41" s="45">
        <v>24.712372999999999</v>
      </c>
      <c r="H41" s="45">
        <v>24.303899000000001</v>
      </c>
      <c r="I41" s="46">
        <v>25.089399</v>
      </c>
      <c r="J41" s="45">
        <v>25.807863999999999</v>
      </c>
      <c r="K41" s="45">
        <v>24.678508999999998</v>
      </c>
      <c r="L41" s="45">
        <v>29.538385999999999</v>
      </c>
      <c r="M41" s="45">
        <v>31.214386000000001</v>
      </c>
      <c r="N41" s="45">
        <v>29.350216</v>
      </c>
      <c r="O41" s="45">
        <v>27.353942</v>
      </c>
      <c r="P41" s="46">
        <v>31.823215999999999</v>
      </c>
      <c r="Q41" s="45">
        <v>16.924647</v>
      </c>
      <c r="R41" s="45">
        <v>20.614249000000001</v>
      </c>
      <c r="S41" s="45">
        <v>22.968018000000001</v>
      </c>
      <c r="T41" s="45">
        <v>22.30302</v>
      </c>
      <c r="U41" s="45">
        <v>19.909102000000001</v>
      </c>
      <c r="V41" s="45">
        <v>21.166436000000001</v>
      </c>
      <c r="W41" s="45">
        <v>18.168310000000002</v>
      </c>
    </row>
    <row r="42" spans="2:26" ht="16.5" customHeight="1" x14ac:dyDescent="0.25">
      <c r="B42" s="26" t="s">
        <v>22</v>
      </c>
      <c r="C42" s="45">
        <v>23.650338999999999</v>
      </c>
      <c r="D42" s="45">
        <v>22.277042999999999</v>
      </c>
      <c r="E42" s="45">
        <v>28.161327</v>
      </c>
      <c r="F42" s="45">
        <v>26.375257999999999</v>
      </c>
      <c r="G42" s="45">
        <v>22.574953000000001</v>
      </c>
      <c r="H42" s="45">
        <v>23.698919</v>
      </c>
      <c r="I42" s="46">
        <v>24.044004999999999</v>
      </c>
      <c r="J42" s="45">
        <v>25.047067999999999</v>
      </c>
      <c r="K42" s="45">
        <v>24.051849000000001</v>
      </c>
      <c r="L42" s="45">
        <v>33.714427999999998</v>
      </c>
      <c r="M42" s="45">
        <v>29.093733</v>
      </c>
      <c r="N42" s="45">
        <v>25.198098999999999</v>
      </c>
      <c r="O42" s="45">
        <v>27.345901000000001</v>
      </c>
      <c r="P42" s="46">
        <v>30.117249000000001</v>
      </c>
      <c r="Q42" s="45">
        <v>22.158432999999999</v>
      </c>
      <c r="R42" s="45">
        <v>20.379366000000001</v>
      </c>
      <c r="S42" s="45">
        <v>22.216730999999999</v>
      </c>
      <c r="T42" s="45">
        <v>23.469947000000001</v>
      </c>
      <c r="U42" s="45">
        <v>19.785601</v>
      </c>
      <c r="V42" s="45">
        <v>19.865199</v>
      </c>
      <c r="W42" s="45">
        <v>17.661967000000001</v>
      </c>
      <c r="Z42" s="72"/>
    </row>
    <row r="43" spans="2:26" ht="16.5" customHeight="1" x14ac:dyDescent="0.25">
      <c r="B43" s="26" t="s">
        <v>8</v>
      </c>
      <c r="C43" s="45">
        <v>27.472269000000001</v>
      </c>
      <c r="D43" s="45">
        <v>28.087423999999999</v>
      </c>
      <c r="E43" s="45">
        <v>30.501110000000001</v>
      </c>
      <c r="F43" s="45">
        <v>29.995477999999999</v>
      </c>
      <c r="G43" s="45">
        <v>29.552952000000001</v>
      </c>
      <c r="H43" s="45">
        <v>28.102222999999999</v>
      </c>
      <c r="I43" s="46">
        <v>27.733255</v>
      </c>
      <c r="J43" s="45">
        <v>32.562569000000003</v>
      </c>
      <c r="K43" s="45">
        <v>33.868907999999998</v>
      </c>
      <c r="L43" s="45">
        <v>37.028236</v>
      </c>
      <c r="M43" s="45">
        <v>35.211818000000001</v>
      </c>
      <c r="N43" s="45">
        <v>34.142792999999998</v>
      </c>
      <c r="O43" s="45">
        <v>33.236617000000003</v>
      </c>
      <c r="P43" s="46">
        <v>32.892646999999997</v>
      </c>
      <c r="Q43" s="45">
        <v>22.068753000000001</v>
      </c>
      <c r="R43" s="45">
        <v>21.954695000000001</v>
      </c>
      <c r="S43" s="45">
        <v>23.578647</v>
      </c>
      <c r="T43" s="45">
        <v>24.467672</v>
      </c>
      <c r="U43" s="45">
        <v>24.713231</v>
      </c>
      <c r="V43" s="45">
        <v>22.725353999999999</v>
      </c>
      <c r="W43" s="45">
        <v>22.344611</v>
      </c>
      <c r="Z43" s="73"/>
    </row>
    <row r="44" spans="2:26" ht="16.5" customHeight="1" x14ac:dyDescent="0.25">
      <c r="B44" s="26" t="s">
        <v>9</v>
      </c>
      <c r="C44" s="45">
        <v>43.488250000000001</v>
      </c>
      <c r="D44" s="45">
        <v>43.547378000000002</v>
      </c>
      <c r="E44" s="45">
        <v>47.308655000000002</v>
      </c>
      <c r="F44" s="45">
        <v>45.261374000000004</v>
      </c>
      <c r="G44" s="45">
        <v>44.414242999999999</v>
      </c>
      <c r="H44" s="45">
        <v>41.091098000000002</v>
      </c>
      <c r="I44" s="46">
        <v>40.342956999999998</v>
      </c>
      <c r="J44" s="45">
        <v>55.874147000000001</v>
      </c>
      <c r="K44" s="45">
        <v>55.971170999999998</v>
      </c>
      <c r="L44" s="45">
        <v>59.344285999999997</v>
      </c>
      <c r="M44" s="45">
        <v>58.498440000000002</v>
      </c>
      <c r="N44" s="45">
        <v>57.515182000000003</v>
      </c>
      <c r="O44" s="45">
        <v>55.182203999999999</v>
      </c>
      <c r="P44" s="46">
        <v>55.148381999999998</v>
      </c>
      <c r="Q44" s="45">
        <v>30.524778999999999</v>
      </c>
      <c r="R44" s="45">
        <v>30.553004000000001</v>
      </c>
      <c r="S44" s="45">
        <v>34.734110999999999</v>
      </c>
      <c r="T44" s="45">
        <v>31.424942000000001</v>
      </c>
      <c r="U44" s="45">
        <v>30.705414999999999</v>
      </c>
      <c r="V44" s="45">
        <v>26.508216000000001</v>
      </c>
      <c r="W44" s="45">
        <v>25.026713999999998</v>
      </c>
    </row>
    <row r="45" spans="2:26" ht="16.5" customHeight="1" x14ac:dyDescent="0.25">
      <c r="B45" s="26" t="s">
        <v>23</v>
      </c>
      <c r="C45" s="45">
        <v>44.254207000000001</v>
      </c>
      <c r="D45" s="45">
        <v>40.442729</v>
      </c>
      <c r="E45" s="45">
        <v>41.395035</v>
      </c>
      <c r="F45" s="45">
        <v>41.585276999999998</v>
      </c>
      <c r="G45" s="45">
        <v>39.888781999999999</v>
      </c>
      <c r="H45" s="45">
        <v>36.618228000000002</v>
      </c>
      <c r="I45" s="46">
        <v>37.018365000000003</v>
      </c>
      <c r="J45" s="45">
        <v>52.147119000000004</v>
      </c>
      <c r="K45" s="45">
        <v>51.615698000000002</v>
      </c>
      <c r="L45" s="45">
        <v>50.607973999999999</v>
      </c>
      <c r="M45" s="45">
        <v>52.219273999999999</v>
      </c>
      <c r="N45" s="45">
        <v>51.351258000000001</v>
      </c>
      <c r="O45" s="45">
        <v>49.185386000000001</v>
      </c>
      <c r="P45" s="46">
        <v>49.289791000000001</v>
      </c>
      <c r="Q45" s="45">
        <v>36.10492</v>
      </c>
      <c r="R45" s="45">
        <v>28.911308999999999</v>
      </c>
      <c r="S45" s="45">
        <v>31.891601000000001</v>
      </c>
      <c r="T45" s="45">
        <v>30.615745</v>
      </c>
      <c r="U45" s="45">
        <v>28.065731</v>
      </c>
      <c r="V45" s="45">
        <v>23.788996999999998</v>
      </c>
      <c r="W45" s="45">
        <v>24.878692000000001</v>
      </c>
    </row>
    <row r="46" spans="2:26" ht="16.5" customHeight="1" x14ac:dyDescent="0.25">
      <c r="B46" s="26" t="s">
        <v>24</v>
      </c>
      <c r="C46" s="45">
        <v>49.825834999999998</v>
      </c>
      <c r="D46" s="45">
        <v>49.471586000000002</v>
      </c>
      <c r="E46" s="45">
        <v>50.623230999999997</v>
      </c>
      <c r="F46" s="45">
        <v>45.957737000000002</v>
      </c>
      <c r="G46" s="45">
        <v>45.158921999999997</v>
      </c>
      <c r="H46" s="45">
        <v>44.057189000000001</v>
      </c>
      <c r="I46" s="46">
        <v>43.875343999999998</v>
      </c>
      <c r="J46" s="45">
        <v>59.58229</v>
      </c>
      <c r="K46" s="45">
        <v>60.880580000000002</v>
      </c>
      <c r="L46" s="45">
        <v>61.475918999999998</v>
      </c>
      <c r="M46" s="45">
        <v>56.636553999999997</v>
      </c>
      <c r="N46" s="45">
        <v>55.256931000000002</v>
      </c>
      <c r="O46" s="45">
        <v>54.479599999999998</v>
      </c>
      <c r="P46" s="46">
        <v>53.665931</v>
      </c>
      <c r="Q46" s="45">
        <v>39.555936000000003</v>
      </c>
      <c r="R46" s="45">
        <v>37.464320999999998</v>
      </c>
      <c r="S46" s="45">
        <v>39.184578999999999</v>
      </c>
      <c r="T46" s="45">
        <v>34.679710999999998</v>
      </c>
      <c r="U46" s="45">
        <v>34.481651999999997</v>
      </c>
      <c r="V46" s="45">
        <v>33.133170999999997</v>
      </c>
      <c r="W46" s="45">
        <v>33.614019999999996</v>
      </c>
    </row>
    <row r="47" spans="2:26" ht="16.5" customHeight="1" x14ac:dyDescent="0.25">
      <c r="B47" s="26" t="s">
        <v>25</v>
      </c>
      <c r="C47" s="45">
        <v>42.142871</v>
      </c>
      <c r="D47" s="45">
        <v>42.258978999999997</v>
      </c>
      <c r="E47" s="45">
        <v>40.439315999999998</v>
      </c>
      <c r="F47" s="45">
        <v>41.241601000000003</v>
      </c>
      <c r="G47" s="45">
        <v>39.350709000000002</v>
      </c>
      <c r="H47" s="45">
        <v>39.458410000000001</v>
      </c>
      <c r="I47" s="46">
        <v>43.347087999999999</v>
      </c>
      <c r="J47" s="45">
        <v>55.728858000000002</v>
      </c>
      <c r="K47" s="45">
        <v>52.968338000000003</v>
      </c>
      <c r="L47" s="45">
        <v>55.840057000000002</v>
      </c>
      <c r="M47" s="45">
        <v>54.243428000000002</v>
      </c>
      <c r="N47" s="45">
        <v>49.583823000000002</v>
      </c>
      <c r="O47" s="45">
        <v>51.341096999999998</v>
      </c>
      <c r="P47" s="46">
        <v>54.106555</v>
      </c>
      <c r="Q47" s="45">
        <v>28.003563</v>
      </c>
      <c r="R47" s="45">
        <v>31.133838000000001</v>
      </c>
      <c r="S47" s="45">
        <v>24.444588</v>
      </c>
      <c r="T47" s="45">
        <v>27.707564000000001</v>
      </c>
      <c r="U47" s="45">
        <v>28.677734999999998</v>
      </c>
      <c r="V47" s="45">
        <v>27.160672000000002</v>
      </c>
      <c r="W47" s="45">
        <v>32.229083000000003</v>
      </c>
    </row>
    <row r="48" spans="2:26" ht="16.5" customHeight="1" x14ac:dyDescent="0.25">
      <c r="B48" s="35" t="s">
        <v>26</v>
      </c>
      <c r="C48" s="47">
        <v>42.957726999999998</v>
      </c>
      <c r="D48" s="47">
        <v>43.409545999999999</v>
      </c>
      <c r="E48" s="47">
        <v>48.809576999999997</v>
      </c>
      <c r="F48" s="47">
        <v>47.413423000000002</v>
      </c>
      <c r="G48" s="47">
        <v>43.600918</v>
      </c>
      <c r="H48" s="47">
        <v>38.112183000000002</v>
      </c>
      <c r="I48" s="48">
        <v>37.692523999999999</v>
      </c>
      <c r="J48" s="47">
        <v>54.102834999999999</v>
      </c>
      <c r="K48" s="47">
        <v>53.874808000000002</v>
      </c>
      <c r="L48" s="47">
        <v>60.226384000000003</v>
      </c>
      <c r="M48" s="47">
        <v>59.123505999999999</v>
      </c>
      <c r="N48" s="47">
        <v>56.574919999999999</v>
      </c>
      <c r="O48" s="47">
        <v>50.131988</v>
      </c>
      <c r="P48" s="48">
        <v>50.781367000000003</v>
      </c>
      <c r="Q48" s="47">
        <v>31.496831</v>
      </c>
      <c r="R48" s="47">
        <v>32.678249000000001</v>
      </c>
      <c r="S48" s="47">
        <v>37.136167999999998</v>
      </c>
      <c r="T48" s="47">
        <v>35.442680000000003</v>
      </c>
      <c r="U48" s="47">
        <v>30.320868000000001</v>
      </c>
      <c r="V48" s="47">
        <v>25.944611999999999</v>
      </c>
      <c r="W48" s="47">
        <v>24.450149</v>
      </c>
    </row>
    <row r="49" spans="2:23" ht="16.5" customHeight="1" x14ac:dyDescent="0.25">
      <c r="B49" s="38" t="s">
        <v>10</v>
      </c>
      <c r="C49" s="49">
        <v>27.5</v>
      </c>
      <c r="D49" s="49">
        <v>28.6</v>
      </c>
      <c r="E49" s="49">
        <v>31.1</v>
      </c>
      <c r="F49" s="49">
        <v>30.2</v>
      </c>
      <c r="G49" s="49">
        <v>29.8</v>
      </c>
      <c r="H49" s="49">
        <v>29.248284999999999</v>
      </c>
      <c r="I49" s="50">
        <v>26.361984</v>
      </c>
      <c r="J49" s="49">
        <v>33.654158000000002</v>
      </c>
      <c r="K49" s="49">
        <v>33.87717</v>
      </c>
      <c r="L49" s="49">
        <v>37.001559</v>
      </c>
      <c r="M49" s="49">
        <v>37.065092999999997</v>
      </c>
      <c r="N49" s="49">
        <v>36.267471</v>
      </c>
      <c r="O49" s="49">
        <v>35.498775999999999</v>
      </c>
      <c r="P49" s="50">
        <v>32.700577000000003</v>
      </c>
      <c r="Q49" s="49">
        <v>21.233492999999999</v>
      </c>
      <c r="R49" s="49">
        <v>23.226118</v>
      </c>
      <c r="S49" s="49">
        <v>25.16413</v>
      </c>
      <c r="T49" s="49">
        <v>23.333683000000001</v>
      </c>
      <c r="U49" s="49">
        <v>23.340215000000001</v>
      </c>
      <c r="V49" s="49">
        <v>22.968146000000001</v>
      </c>
      <c r="W49" s="49">
        <v>20.005523</v>
      </c>
    </row>
    <row r="50" spans="2:23" ht="16.5" customHeight="1" x14ac:dyDescent="0.25">
      <c r="B50" s="38" t="s">
        <v>11</v>
      </c>
      <c r="C50" s="49">
        <v>28.1</v>
      </c>
      <c r="D50" s="49">
        <v>28.4</v>
      </c>
      <c r="E50" s="49">
        <v>30.4</v>
      </c>
      <c r="F50" s="49">
        <v>29.7</v>
      </c>
      <c r="G50" s="49">
        <v>29</v>
      </c>
      <c r="H50" s="49">
        <v>28.380564</v>
      </c>
      <c r="I50" s="50">
        <v>26.993147</v>
      </c>
      <c r="J50" s="49">
        <v>35.181933999999998</v>
      </c>
      <c r="K50" s="49">
        <v>34.725921</v>
      </c>
      <c r="L50" s="49">
        <v>36.891905000000001</v>
      </c>
      <c r="M50" s="49">
        <v>36.072505999999997</v>
      </c>
      <c r="N50" s="49">
        <v>35.625405000000001</v>
      </c>
      <c r="O50" s="49">
        <v>35.372253999999998</v>
      </c>
      <c r="P50" s="50">
        <v>33.676929999999999</v>
      </c>
      <c r="Q50" s="49">
        <v>21.065003000000001</v>
      </c>
      <c r="R50" s="49">
        <v>22.093422</v>
      </c>
      <c r="S50" s="49">
        <v>23.960771000000001</v>
      </c>
      <c r="T50" s="49">
        <v>23.336303999999998</v>
      </c>
      <c r="U50" s="49">
        <v>22.468691</v>
      </c>
      <c r="V50" s="49">
        <v>21.441928000000001</v>
      </c>
      <c r="W50" s="49">
        <v>20.372972000000001</v>
      </c>
    </row>
    <row r="51" spans="2:23" ht="16.5" customHeight="1" x14ac:dyDescent="0.25">
      <c r="B51" s="26" t="s">
        <v>12</v>
      </c>
      <c r="C51" s="45">
        <v>27.890713000000002</v>
      </c>
      <c r="D51" s="45">
        <v>27.58802</v>
      </c>
      <c r="E51" s="45">
        <v>29.848706</v>
      </c>
      <c r="F51" s="45">
        <v>29.254061</v>
      </c>
      <c r="G51" s="45">
        <v>28.173026</v>
      </c>
      <c r="H51" s="45">
        <v>27.195598</v>
      </c>
      <c r="I51" s="46">
        <v>27.385059999999999</v>
      </c>
      <c r="J51" s="45">
        <v>35.180408</v>
      </c>
      <c r="K51" s="45">
        <v>34.583452999999999</v>
      </c>
      <c r="L51" s="45">
        <v>37.082509999999999</v>
      </c>
      <c r="M51" s="45">
        <v>36.054223999999998</v>
      </c>
      <c r="N51" s="45">
        <v>35.076777</v>
      </c>
      <c r="O51" s="45">
        <v>33.950609999999998</v>
      </c>
      <c r="P51" s="46">
        <v>34.244183999999997</v>
      </c>
      <c r="Q51" s="45">
        <v>20.632580000000001</v>
      </c>
      <c r="R51" s="45">
        <v>20.636275999999999</v>
      </c>
      <c r="S51" s="45">
        <v>22.663976000000002</v>
      </c>
      <c r="T51" s="45">
        <v>22.513470000000002</v>
      </c>
      <c r="U51" s="45">
        <v>21.358806999999999</v>
      </c>
      <c r="V51" s="45">
        <v>20.54562</v>
      </c>
      <c r="W51" s="45">
        <v>20.642384</v>
      </c>
    </row>
    <row r="52" spans="2:23" ht="16.5" customHeight="1" x14ac:dyDescent="0.25">
      <c r="B52" s="26" t="s">
        <v>13</v>
      </c>
      <c r="C52" s="45">
        <v>30.143753</v>
      </c>
      <c r="D52" s="45">
        <v>30.283422000000002</v>
      </c>
      <c r="E52" s="45">
        <v>32.357346999999997</v>
      </c>
      <c r="F52" s="45">
        <v>31.484839999999998</v>
      </c>
      <c r="G52" s="45">
        <v>30.325565000000001</v>
      </c>
      <c r="H52" s="45">
        <v>29.678629000000001</v>
      </c>
      <c r="I52" s="46">
        <v>29.384658000000002</v>
      </c>
      <c r="J52" s="45">
        <v>37.539962000000003</v>
      </c>
      <c r="K52" s="45">
        <v>37.471344000000002</v>
      </c>
      <c r="L52" s="45">
        <v>39.975304000000001</v>
      </c>
      <c r="M52" s="45">
        <v>38.820594999999997</v>
      </c>
      <c r="N52" s="45">
        <v>37.250563999999997</v>
      </c>
      <c r="O52" s="45">
        <v>36.902794</v>
      </c>
      <c r="P52" s="46">
        <v>36.568049000000002</v>
      </c>
      <c r="Q52" s="45">
        <v>22.576347999999999</v>
      </c>
      <c r="R52" s="45">
        <v>22.940280999999999</v>
      </c>
      <c r="S52" s="45">
        <v>24.580677999999999</v>
      </c>
      <c r="T52" s="45">
        <v>24.009779000000002</v>
      </c>
      <c r="U52" s="45">
        <v>23.298539999999999</v>
      </c>
      <c r="V52" s="45">
        <v>22.387098999999999</v>
      </c>
      <c r="W52" s="45">
        <v>22.139081999999998</v>
      </c>
    </row>
    <row r="53" spans="2:23" ht="16.5" customHeight="1" x14ac:dyDescent="0.25">
      <c r="B53" s="35" t="s">
        <v>19</v>
      </c>
      <c r="C53" s="47">
        <v>45.312351999999997</v>
      </c>
      <c r="D53" s="47">
        <v>45.395968000000003</v>
      </c>
      <c r="E53" s="47">
        <v>47.594245999999998</v>
      </c>
      <c r="F53" s="47">
        <v>46.174194</v>
      </c>
      <c r="G53" s="47">
        <v>45.375216999999999</v>
      </c>
      <c r="H53" s="47">
        <v>43.732574999999997</v>
      </c>
      <c r="I53" s="48">
        <v>52.390459999999997</v>
      </c>
      <c r="J53" s="47">
        <v>58.385271000000003</v>
      </c>
      <c r="K53" s="47">
        <v>58.463295000000002</v>
      </c>
      <c r="L53" s="47">
        <v>60.687007999999999</v>
      </c>
      <c r="M53" s="47">
        <v>59.202837000000002</v>
      </c>
      <c r="N53" s="47">
        <v>58.506659999999997</v>
      </c>
      <c r="O53" s="47">
        <v>56.749341000000001</v>
      </c>
      <c r="P53" s="48">
        <v>63.945207000000003</v>
      </c>
      <c r="Q53" s="47">
        <v>32.055376000000003</v>
      </c>
      <c r="R53" s="47">
        <v>32.150826000000002</v>
      </c>
      <c r="S53" s="47">
        <v>34.318624</v>
      </c>
      <c r="T53" s="47">
        <v>32.967396000000001</v>
      </c>
      <c r="U53" s="47">
        <v>32.068165999999998</v>
      </c>
      <c r="V53" s="47">
        <v>30.61553</v>
      </c>
      <c r="W53" s="47">
        <v>40.554200000000002</v>
      </c>
    </row>
    <row r="54" spans="2:23" ht="16.5" customHeight="1" x14ac:dyDescent="0.25">
      <c r="B54" s="28" t="s">
        <v>14</v>
      </c>
      <c r="C54" s="51">
        <v>34.416260000000001</v>
      </c>
      <c r="D54" s="51">
        <v>34.306538000000003</v>
      </c>
      <c r="E54" s="51">
        <v>36.479551000000001</v>
      </c>
      <c r="F54" s="51">
        <v>35.517794000000002</v>
      </c>
      <c r="G54" s="51">
        <v>34.467278</v>
      </c>
      <c r="H54" s="51">
        <v>33.321629000000001</v>
      </c>
      <c r="I54" s="52">
        <v>33.392724999999999</v>
      </c>
      <c r="J54" s="51">
        <v>43.776060000000001</v>
      </c>
      <c r="K54" s="51">
        <v>43.484971999999999</v>
      </c>
      <c r="L54" s="51">
        <v>45.852528999999997</v>
      </c>
      <c r="M54" s="51">
        <v>44.608127000000003</v>
      </c>
      <c r="N54" s="51">
        <v>43.550195000000002</v>
      </c>
      <c r="O54" s="51">
        <v>42.347518000000001</v>
      </c>
      <c r="P54" s="52">
        <v>42.448324999999997</v>
      </c>
      <c r="Q54" s="51">
        <v>24.986830000000001</v>
      </c>
      <c r="R54" s="51">
        <v>25.072434000000001</v>
      </c>
      <c r="S54" s="51">
        <v>27.052602</v>
      </c>
      <c r="T54" s="51">
        <v>26.387900999999999</v>
      </c>
      <c r="U54" s="51">
        <v>25.371604000000001</v>
      </c>
      <c r="V54" s="51">
        <v>24.320881</v>
      </c>
      <c r="W54" s="51">
        <v>24.372904999999999</v>
      </c>
    </row>
    <row r="55" spans="2:23" ht="16.5" customHeight="1" x14ac:dyDescent="0.3">
      <c r="B55" s="1"/>
      <c r="C55" s="1"/>
      <c r="D55" s="1"/>
      <c r="E55" s="1"/>
      <c r="F55" s="1"/>
      <c r="G55" s="1"/>
      <c r="H55" s="1"/>
      <c r="I55" s="1"/>
      <c r="J55" s="1"/>
      <c r="K55" s="1"/>
      <c r="L55" s="1"/>
      <c r="M55" s="1"/>
      <c r="N55" s="1"/>
      <c r="O55" s="1"/>
      <c r="P55" s="1"/>
      <c r="Q55" s="1"/>
      <c r="R55" s="1"/>
      <c r="S55" s="1"/>
      <c r="T55" s="1"/>
      <c r="U55" s="1"/>
      <c r="V55" s="1"/>
      <c r="W55" s="1"/>
    </row>
    <row r="56" spans="2:23" ht="16.5" customHeight="1" x14ac:dyDescent="0.3">
      <c r="B56" s="4" t="s">
        <v>50</v>
      </c>
      <c r="C56" s="1"/>
      <c r="D56" s="1"/>
      <c r="E56" s="1"/>
      <c r="F56" s="1"/>
      <c r="G56" s="1"/>
      <c r="H56" s="1"/>
      <c r="I56" s="1"/>
      <c r="J56" s="1"/>
      <c r="K56" s="1"/>
      <c r="L56" s="1"/>
      <c r="M56" s="1"/>
      <c r="N56" s="1"/>
      <c r="O56" s="1"/>
      <c r="P56" s="1"/>
      <c r="Q56" s="1"/>
      <c r="R56" s="1"/>
      <c r="S56" s="1"/>
      <c r="T56" s="1"/>
      <c r="U56" s="1"/>
      <c r="V56" s="1"/>
      <c r="W56" s="1"/>
    </row>
  </sheetData>
  <mergeCells count="10">
    <mergeCell ref="B9:W9"/>
    <mergeCell ref="B10:B11"/>
    <mergeCell ref="C10:I10"/>
    <mergeCell ref="J10:P10"/>
    <mergeCell ref="Q10:W10"/>
    <mergeCell ref="B34:B35"/>
    <mergeCell ref="C34:I34"/>
    <mergeCell ref="J34:P34"/>
    <mergeCell ref="Q34:W34"/>
    <mergeCell ref="B33:W33"/>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W34"/>
  <sheetViews>
    <sheetView zoomScaleNormal="100" workbookViewId="0"/>
  </sheetViews>
  <sheetFormatPr defaultColWidth="9.7109375" defaultRowHeight="16.5" customHeight="1" x14ac:dyDescent="0.25"/>
  <cols>
    <col min="1" max="1" width="9.7109375" style="5" customWidth="1"/>
    <col min="2" max="2" width="18.7109375" style="5" customWidth="1"/>
    <col min="3" max="16384" width="9.7109375" style="5"/>
  </cols>
  <sheetData>
    <row r="1" spans="2:23" s="18" customFormat="1" ht="16.5" customHeight="1" x14ac:dyDescent="0.25"/>
    <row r="2" spans="2:23" s="18" customFormat="1" ht="16.5" customHeight="1" x14ac:dyDescent="0.25">
      <c r="B2" s="19"/>
      <c r="E2" s="69" t="s">
        <v>49</v>
      </c>
    </row>
    <row r="3" spans="2:23" s="18" customFormat="1" ht="16.5" customHeight="1" x14ac:dyDescent="0.25">
      <c r="B3" s="19"/>
    </row>
    <row r="4" spans="2:23" s="18" customFormat="1" ht="16.5" customHeight="1" x14ac:dyDescent="0.25"/>
    <row r="6" spans="2:23" s="1" customFormat="1" ht="16.5" customHeight="1" x14ac:dyDescent="0.3">
      <c r="B6" s="3" t="s">
        <v>33</v>
      </c>
    </row>
    <row r="7" spans="2:23" s="1" customFormat="1" ht="16.5" customHeight="1" x14ac:dyDescent="0.3">
      <c r="B7" s="4" t="s">
        <v>51</v>
      </c>
    </row>
    <row r="9" spans="2:23" ht="16.5" customHeight="1" x14ac:dyDescent="0.25">
      <c r="B9" s="80" t="s">
        <v>32</v>
      </c>
      <c r="C9" s="80"/>
      <c r="D9" s="80"/>
      <c r="E9" s="80"/>
      <c r="F9" s="80"/>
      <c r="G9" s="80"/>
      <c r="H9" s="80"/>
      <c r="I9" s="80"/>
      <c r="J9" s="80"/>
      <c r="K9" s="80"/>
      <c r="L9" s="80"/>
      <c r="M9" s="80"/>
      <c r="N9" s="80"/>
      <c r="O9" s="80"/>
      <c r="P9" s="80"/>
      <c r="Q9" s="80"/>
      <c r="R9" s="80"/>
      <c r="S9" s="80"/>
      <c r="T9" s="80"/>
      <c r="U9" s="80"/>
      <c r="V9" s="80"/>
      <c r="W9" s="80"/>
    </row>
    <row r="10" spans="2:23" ht="16.5" customHeight="1" x14ac:dyDescent="0.25">
      <c r="B10" s="85" t="s">
        <v>16</v>
      </c>
      <c r="C10" s="80" t="s">
        <v>15</v>
      </c>
      <c r="D10" s="80"/>
      <c r="E10" s="80"/>
      <c r="F10" s="80"/>
      <c r="G10" s="80"/>
      <c r="H10" s="80"/>
      <c r="I10" s="80"/>
      <c r="J10" s="81" t="s">
        <v>17</v>
      </c>
      <c r="K10" s="80"/>
      <c r="L10" s="80"/>
      <c r="M10" s="80"/>
      <c r="N10" s="80"/>
      <c r="O10" s="80"/>
      <c r="P10" s="88"/>
      <c r="Q10" s="80" t="s">
        <v>18</v>
      </c>
      <c r="R10" s="89"/>
      <c r="S10" s="89"/>
      <c r="T10" s="89"/>
      <c r="U10" s="89"/>
      <c r="V10" s="89"/>
      <c r="W10" s="89"/>
    </row>
    <row r="11" spans="2:23" ht="16.5" customHeight="1" x14ac:dyDescent="0.25">
      <c r="B11" s="87"/>
      <c r="C11" s="6">
        <v>2018</v>
      </c>
      <c r="D11" s="6">
        <v>2019</v>
      </c>
      <c r="E11" s="6">
        <v>2020</v>
      </c>
      <c r="F11" s="6">
        <v>2021</v>
      </c>
      <c r="G11" s="6">
        <v>2022</v>
      </c>
      <c r="H11" s="6">
        <v>2023</v>
      </c>
      <c r="I11" s="9">
        <v>2024</v>
      </c>
      <c r="J11" s="6">
        <v>2018</v>
      </c>
      <c r="K11" s="6">
        <v>2019</v>
      </c>
      <c r="L11" s="6">
        <v>2020</v>
      </c>
      <c r="M11" s="6">
        <v>2021</v>
      </c>
      <c r="N11" s="6">
        <v>2022</v>
      </c>
      <c r="O11" s="6">
        <v>2023</v>
      </c>
      <c r="P11" s="9">
        <v>2024</v>
      </c>
      <c r="Q11" s="6">
        <v>2018</v>
      </c>
      <c r="R11" s="6">
        <v>2019</v>
      </c>
      <c r="S11" s="6">
        <v>2020</v>
      </c>
      <c r="T11" s="6">
        <v>2021</v>
      </c>
      <c r="U11" s="6">
        <v>2022</v>
      </c>
      <c r="V11" s="6">
        <v>2023</v>
      </c>
      <c r="W11" s="6">
        <v>2024</v>
      </c>
    </row>
    <row r="12" spans="2:23" ht="16.5" customHeight="1" x14ac:dyDescent="0.25">
      <c r="B12" s="30" t="s">
        <v>4</v>
      </c>
      <c r="C12" s="31">
        <v>533.96005182500073</v>
      </c>
      <c r="D12" s="31">
        <v>529.06332934070997</v>
      </c>
      <c r="E12" s="31">
        <v>527.04839595798683</v>
      </c>
      <c r="F12" s="31">
        <v>523.32173901452109</v>
      </c>
      <c r="G12" s="31">
        <v>522.86211544287664</v>
      </c>
      <c r="H12" s="31">
        <v>517.04706907839818</v>
      </c>
      <c r="I12" s="32">
        <f>100*'Tavola 3'!I12/'Tavola 3'!I36</f>
        <v>523.4610612240283</v>
      </c>
      <c r="J12" s="31">
        <v>270.61272354946504</v>
      </c>
      <c r="K12" s="31">
        <v>267.86597962372849</v>
      </c>
      <c r="L12" s="31">
        <v>266.72030645328158</v>
      </c>
      <c r="M12" s="31">
        <v>264.54304871329737</v>
      </c>
      <c r="N12" s="31">
        <v>263.59418671678782</v>
      </c>
      <c r="O12" s="31">
        <v>259.52610421950772</v>
      </c>
      <c r="P12" s="32">
        <f>100*'Tavola 3'!P12/'Tavola 3'!P36</f>
        <v>262.34613283227031</v>
      </c>
      <c r="Q12" s="31">
        <v>263.3430060558174</v>
      </c>
      <c r="R12" s="31">
        <v>261.19352064156487</v>
      </c>
      <c r="S12" s="31">
        <v>260.32853418439271</v>
      </c>
      <c r="T12" s="31">
        <v>258.77899910162239</v>
      </c>
      <c r="U12" s="31">
        <v>259.27174102976494</v>
      </c>
      <c r="V12" s="31">
        <v>257.521215844099</v>
      </c>
      <c r="W12" s="31">
        <f>100*'Tavola 3'!W12/'Tavola 3'!W36</f>
        <v>261.1150091922301</v>
      </c>
    </row>
    <row r="13" spans="2:23" ht="16.5" customHeight="1" x14ac:dyDescent="0.25">
      <c r="B13" s="26" t="s">
        <v>5</v>
      </c>
      <c r="C13" s="33">
        <v>341.23422958076867</v>
      </c>
      <c r="D13" s="33">
        <v>339.21200896952956</v>
      </c>
      <c r="E13" s="33">
        <v>336.81017556691592</v>
      </c>
      <c r="F13" s="33">
        <v>334.32648747404261</v>
      </c>
      <c r="G13" s="33">
        <v>335.28509287547001</v>
      </c>
      <c r="H13" s="33">
        <v>334.71057952039848</v>
      </c>
      <c r="I13" s="34">
        <v>336.94829236065357</v>
      </c>
      <c r="J13" s="33">
        <v>173.68379813182247</v>
      </c>
      <c r="K13" s="33">
        <v>172.54564083273385</v>
      </c>
      <c r="L13" s="33">
        <v>171.19851251313423</v>
      </c>
      <c r="M13" s="33">
        <v>168.53950924984792</v>
      </c>
      <c r="N13" s="33">
        <v>169.66025155794327</v>
      </c>
      <c r="O13" s="33">
        <v>168.61259921259503</v>
      </c>
      <c r="P13" s="34">
        <v>169.3445160357816</v>
      </c>
      <c r="Q13" s="33">
        <v>167.55069175135557</v>
      </c>
      <c r="R13" s="33">
        <v>166.66659822998091</v>
      </c>
      <c r="S13" s="33">
        <v>165.60832521496511</v>
      </c>
      <c r="T13" s="33">
        <v>165.78692870942768</v>
      </c>
      <c r="U13" s="33">
        <v>165.6241111398918</v>
      </c>
      <c r="V13" s="33">
        <v>166.09825274748906</v>
      </c>
      <c r="W13" s="33">
        <v>167.60358806118205</v>
      </c>
    </row>
    <row r="14" spans="2:23" ht="16.5" customHeight="1" x14ac:dyDescent="0.25">
      <c r="B14" s="26" t="s">
        <v>6</v>
      </c>
      <c r="C14" s="33">
        <v>873.47980047944441</v>
      </c>
      <c r="D14" s="33">
        <v>885.84966080060565</v>
      </c>
      <c r="E14" s="33">
        <v>894.55974998546935</v>
      </c>
      <c r="F14" s="33">
        <v>890.92949915841507</v>
      </c>
      <c r="G14" s="33">
        <v>879.98441905955485</v>
      </c>
      <c r="H14" s="33">
        <v>872.72638030371968</v>
      </c>
      <c r="I14" s="34">
        <v>884.13376371927438</v>
      </c>
      <c r="J14" s="33">
        <v>438.05538308879858</v>
      </c>
      <c r="K14" s="33">
        <v>443.3430299867149</v>
      </c>
      <c r="L14" s="33">
        <v>447.45097754539455</v>
      </c>
      <c r="M14" s="33">
        <v>445.65530975289141</v>
      </c>
      <c r="N14" s="33">
        <v>439.78035517564354</v>
      </c>
      <c r="O14" s="33">
        <v>434.17860521852464</v>
      </c>
      <c r="P14" s="34">
        <v>439.0765132755015</v>
      </c>
      <c r="Q14" s="33">
        <v>435.42026529348499</v>
      </c>
      <c r="R14" s="33">
        <v>442.50702012610515</v>
      </c>
      <c r="S14" s="33">
        <v>447.10917119099906</v>
      </c>
      <c r="T14" s="33">
        <v>445.27003754331639</v>
      </c>
      <c r="U14" s="33">
        <v>440.20386204195938</v>
      </c>
      <c r="V14" s="33">
        <v>438.54730070281579</v>
      </c>
      <c r="W14" s="33">
        <v>445.0575362155036</v>
      </c>
    </row>
    <row r="15" spans="2:23" ht="16.5" customHeight="1" x14ac:dyDescent="0.25">
      <c r="B15" s="26" t="s">
        <v>20</v>
      </c>
      <c r="C15" s="33">
        <v>158.70603491296137</v>
      </c>
      <c r="D15" s="33">
        <v>159.1788993003552</v>
      </c>
      <c r="E15" s="33">
        <v>159.53063298855284</v>
      </c>
      <c r="F15" s="33">
        <v>159.35089223222201</v>
      </c>
      <c r="G15" s="33">
        <v>157.20861354697601</v>
      </c>
      <c r="H15" s="33">
        <v>157.91447345486299</v>
      </c>
      <c r="I15" s="34">
        <v>155.98653249209923</v>
      </c>
      <c r="J15" s="33">
        <v>80.86396449752641</v>
      </c>
      <c r="K15" s="33">
        <v>81.037097534410194</v>
      </c>
      <c r="L15" s="33">
        <v>81.262095406496911</v>
      </c>
      <c r="M15" s="33">
        <v>81.040792252465465</v>
      </c>
      <c r="N15" s="33">
        <v>80.105688368740246</v>
      </c>
      <c r="O15" s="33">
        <v>80.066598539213857</v>
      </c>
      <c r="P15" s="34">
        <v>77.066975430622264</v>
      </c>
      <c r="Q15" s="33">
        <v>77.842106501617906</v>
      </c>
      <c r="R15" s="33">
        <v>78.141612424828637</v>
      </c>
      <c r="S15" s="33">
        <v>78.272668885001124</v>
      </c>
      <c r="T15" s="33">
        <v>78.31007833606202</v>
      </c>
      <c r="U15" s="33">
        <v>77.103188313816332</v>
      </c>
      <c r="V15" s="33">
        <v>77.848020509462714</v>
      </c>
      <c r="W15" s="33">
        <v>78.919532058275053</v>
      </c>
    </row>
    <row r="16" spans="2:23" ht="16.5" customHeight="1" x14ac:dyDescent="0.25">
      <c r="B16" s="26" t="s">
        <v>21</v>
      </c>
      <c r="C16" s="33">
        <v>156.90442278848283</v>
      </c>
      <c r="D16" s="33">
        <v>156.58775672782352</v>
      </c>
      <c r="E16" s="33">
        <v>155.55867159405395</v>
      </c>
      <c r="F16" s="33">
        <v>154.26496134124994</v>
      </c>
      <c r="G16" s="33">
        <v>155.6788974332386</v>
      </c>
      <c r="H16" s="33">
        <v>151.09048438788173</v>
      </c>
      <c r="I16" s="34">
        <v>151.4032418846254</v>
      </c>
      <c r="J16" s="33">
        <v>79.476313495891716</v>
      </c>
      <c r="K16" s="33">
        <v>79.039518817933043</v>
      </c>
      <c r="L16" s="33">
        <v>78.396922579791351</v>
      </c>
      <c r="M16" s="33">
        <v>77.540721904858245</v>
      </c>
      <c r="N16" s="33">
        <v>77.599857554378772</v>
      </c>
      <c r="O16" s="33">
        <v>75.286569459081264</v>
      </c>
      <c r="P16" s="34">
        <v>73.38406248527491</v>
      </c>
      <c r="Q16" s="33">
        <v>77.427529836810024</v>
      </c>
      <c r="R16" s="33">
        <v>77.548518620110471</v>
      </c>
      <c r="S16" s="33">
        <v>77.159013951688436</v>
      </c>
      <c r="T16" s="33">
        <v>76.721179361091487</v>
      </c>
      <c r="U16" s="33">
        <v>78.079559655395727</v>
      </c>
      <c r="V16" s="33">
        <v>75.803930831354151</v>
      </c>
      <c r="W16" s="33">
        <v>78.01963709430126</v>
      </c>
    </row>
    <row r="17" spans="2:23" ht="16.5" customHeight="1" x14ac:dyDescent="0.25">
      <c r="B17" s="26" t="s">
        <v>7</v>
      </c>
      <c r="C17" s="33">
        <v>243.95820369075506</v>
      </c>
      <c r="D17" s="33">
        <v>245.91365695329091</v>
      </c>
      <c r="E17" s="33">
        <v>247.90634554612927</v>
      </c>
      <c r="F17" s="33">
        <v>247.88005991462134</v>
      </c>
      <c r="G17" s="33">
        <v>247.321453103674</v>
      </c>
      <c r="H17" s="33">
        <v>244.73850882938578</v>
      </c>
      <c r="I17" s="34">
        <v>246.77354766449369</v>
      </c>
      <c r="J17" s="33">
        <v>124.85341677250005</v>
      </c>
      <c r="K17" s="33">
        <v>125.72477535008296</v>
      </c>
      <c r="L17" s="33">
        <v>126.55058404342066</v>
      </c>
      <c r="M17" s="33">
        <v>126.44810633148445</v>
      </c>
      <c r="N17" s="33">
        <v>125.82871621796582</v>
      </c>
      <c r="O17" s="33">
        <v>124.0991152207605</v>
      </c>
      <c r="P17" s="34">
        <v>125.07849615199169</v>
      </c>
      <c r="Q17" s="33">
        <v>119.10440436364789</v>
      </c>
      <c r="R17" s="33">
        <v>120.18871024600507</v>
      </c>
      <c r="S17" s="33">
        <v>121.35570426668946</v>
      </c>
      <c r="T17" s="33">
        <v>121.4319854441237</v>
      </c>
      <c r="U17" s="33">
        <v>121.4921697623529</v>
      </c>
      <c r="V17" s="33">
        <v>120.63910995691479</v>
      </c>
      <c r="W17" s="33">
        <v>121.69541360753971</v>
      </c>
    </row>
    <row r="18" spans="2:23" ht="16.5" customHeight="1" x14ac:dyDescent="0.25">
      <c r="B18" s="26" t="s">
        <v>22</v>
      </c>
      <c r="C18" s="33">
        <v>229.43434341469694</v>
      </c>
      <c r="D18" s="33">
        <v>226.89277028374008</v>
      </c>
      <c r="E18" s="33">
        <v>224.4425484637141</v>
      </c>
      <c r="F18" s="33">
        <v>222.57602181559704</v>
      </c>
      <c r="G18" s="33">
        <v>226.10899787919823</v>
      </c>
      <c r="H18" s="33">
        <v>221.84978141830015</v>
      </c>
      <c r="I18" s="34">
        <v>224.0724870918967</v>
      </c>
      <c r="J18" s="33">
        <v>118.49690350982398</v>
      </c>
      <c r="K18" s="33">
        <v>117.24254546916539</v>
      </c>
      <c r="L18" s="33">
        <v>116.04230687229811</v>
      </c>
      <c r="M18" s="33">
        <v>114.98352583355323</v>
      </c>
      <c r="N18" s="33">
        <v>116.52466322955553</v>
      </c>
      <c r="O18" s="33">
        <v>113.69162786042412</v>
      </c>
      <c r="P18" s="34">
        <v>114.81460341879166</v>
      </c>
      <c r="Q18" s="33">
        <v>110.93744760741883</v>
      </c>
      <c r="R18" s="33">
        <v>109.65012356125307</v>
      </c>
      <c r="S18" s="33">
        <v>108.40028625273447</v>
      </c>
      <c r="T18" s="33">
        <v>107.58865369401984</v>
      </c>
      <c r="U18" s="33">
        <v>109.58474296535141</v>
      </c>
      <c r="V18" s="33">
        <v>108.15396311912103</v>
      </c>
      <c r="W18" s="33">
        <v>109.25736640771665</v>
      </c>
    </row>
    <row r="19" spans="2:23" ht="16.5" customHeight="1" x14ac:dyDescent="0.25">
      <c r="B19" s="26" t="s">
        <v>8</v>
      </c>
      <c r="C19" s="33">
        <v>1794.1910804673614</v>
      </c>
      <c r="D19" s="33">
        <v>1794.404499323256</v>
      </c>
      <c r="E19" s="33">
        <v>1782.8662628999405</v>
      </c>
      <c r="F19" s="33">
        <v>1762.2356276502744</v>
      </c>
      <c r="G19" s="33">
        <v>1746.7121389430067</v>
      </c>
      <c r="H19" s="33">
        <v>1735.3395850570257</v>
      </c>
      <c r="I19" s="34">
        <v>1743.2501161511693</v>
      </c>
      <c r="J19" s="33">
        <v>923.87059509954508</v>
      </c>
      <c r="K19" s="33">
        <v>923.65245433953771</v>
      </c>
      <c r="L19" s="33">
        <v>917.63755637724682</v>
      </c>
      <c r="M19" s="33">
        <v>906.66150779263944</v>
      </c>
      <c r="N19" s="33">
        <v>896.4995921686899</v>
      </c>
      <c r="O19" s="33">
        <v>887.68360510337129</v>
      </c>
      <c r="P19" s="34">
        <v>890.5668187786772</v>
      </c>
      <c r="Q19" s="33">
        <v>870.32103716961251</v>
      </c>
      <c r="R19" s="33">
        <v>870.75224684287332</v>
      </c>
      <c r="S19" s="33">
        <v>865.23200419430339</v>
      </c>
      <c r="T19" s="33">
        <v>855.57383636661473</v>
      </c>
      <c r="U19" s="33">
        <v>850.21258450584628</v>
      </c>
      <c r="V19" s="33">
        <v>847.65236220302666</v>
      </c>
      <c r="W19" s="33">
        <v>852.67986988003497</v>
      </c>
    </row>
    <row r="20" spans="2:23" ht="16.5" customHeight="1" x14ac:dyDescent="0.25">
      <c r="B20" s="26" t="s">
        <v>9</v>
      </c>
      <c r="C20" s="33">
        <v>628.25475846924166</v>
      </c>
      <c r="D20" s="33">
        <v>624.41876523541782</v>
      </c>
      <c r="E20" s="33">
        <v>619.30739734621488</v>
      </c>
      <c r="F20" s="33">
        <v>608.3951406336007</v>
      </c>
      <c r="G20" s="33">
        <v>589.23215239759907</v>
      </c>
      <c r="H20" s="33">
        <v>587.27805229249407</v>
      </c>
      <c r="I20" s="34">
        <v>587.89443718763607</v>
      </c>
      <c r="J20" s="33">
        <v>321.28454685849613</v>
      </c>
      <c r="K20" s="33">
        <v>319.21790594661672</v>
      </c>
      <c r="L20" s="33">
        <v>316.43484597657812</v>
      </c>
      <c r="M20" s="33">
        <v>310.93307787352956</v>
      </c>
      <c r="N20" s="33">
        <v>301.29609952377439</v>
      </c>
      <c r="O20" s="33">
        <v>298.67600069036746</v>
      </c>
      <c r="P20" s="34">
        <v>298.93170755218165</v>
      </c>
      <c r="Q20" s="33">
        <v>306.97028142284017</v>
      </c>
      <c r="R20" s="33">
        <v>305.20075865535188</v>
      </c>
      <c r="S20" s="33">
        <v>302.87229749452922</v>
      </c>
      <c r="T20" s="33">
        <v>297.46435172418137</v>
      </c>
      <c r="U20" s="33">
        <v>287.93618324324882</v>
      </c>
      <c r="V20" s="33">
        <v>288.60486122491233</v>
      </c>
      <c r="W20" s="33">
        <v>288.96322545580699</v>
      </c>
    </row>
    <row r="21" spans="2:23" ht="16.5" customHeight="1" x14ac:dyDescent="0.25">
      <c r="B21" s="26" t="s">
        <v>23</v>
      </c>
      <c r="C21" s="33">
        <v>201.75482977245531</v>
      </c>
      <c r="D21" s="33">
        <v>200.98544784156383</v>
      </c>
      <c r="E21" s="33">
        <v>199.27510630199976</v>
      </c>
      <c r="F21" s="33">
        <v>198.03643486611861</v>
      </c>
      <c r="G21" s="33">
        <v>198.70248231695822</v>
      </c>
      <c r="H21" s="33">
        <v>197.99428852756063</v>
      </c>
      <c r="I21" s="34">
        <v>198.32858636517309</v>
      </c>
      <c r="J21" s="33">
        <v>102.48888342230373</v>
      </c>
      <c r="K21" s="33">
        <v>102.07941002754626</v>
      </c>
      <c r="L21" s="33">
        <v>101.18365931819361</v>
      </c>
      <c r="M21" s="33">
        <v>100.55674079268127</v>
      </c>
      <c r="N21" s="33">
        <v>100.88944656428865</v>
      </c>
      <c r="O21" s="33">
        <v>100.01751333211048</v>
      </c>
      <c r="P21" s="34">
        <v>98.628943263322</v>
      </c>
      <c r="Q21" s="33">
        <v>99.266249585929017</v>
      </c>
      <c r="R21" s="33">
        <v>98.905933314883811</v>
      </c>
      <c r="S21" s="33">
        <v>98.091657424160047</v>
      </c>
      <c r="T21" s="33">
        <v>97.479254546965947</v>
      </c>
      <c r="U21" s="33">
        <v>97.813237075492538</v>
      </c>
      <c r="V21" s="33">
        <v>97.973865817041386</v>
      </c>
      <c r="W21" s="33">
        <v>99.699775213262797</v>
      </c>
    </row>
    <row r="22" spans="2:23" ht="16.5" customHeight="1" x14ac:dyDescent="0.25">
      <c r="B22" s="26" t="s">
        <v>24</v>
      </c>
      <c r="C22" s="33">
        <v>425.41585103390645</v>
      </c>
      <c r="D22" s="33">
        <v>421.3408480577113</v>
      </c>
      <c r="E22" s="33">
        <v>415.53649548761518</v>
      </c>
      <c r="F22" s="33">
        <v>408.40131009932014</v>
      </c>
      <c r="G22" s="33">
        <v>398.77612667547731</v>
      </c>
      <c r="H22" s="33">
        <v>397.10885776212365</v>
      </c>
      <c r="I22" s="34">
        <v>397.1775127278774</v>
      </c>
      <c r="J22" s="33">
        <v>218.1604634531503</v>
      </c>
      <c r="K22" s="33">
        <v>216.05247518995384</v>
      </c>
      <c r="L22" s="33">
        <v>213.22983394522333</v>
      </c>
      <c r="M22" s="33">
        <v>209.77264965661578</v>
      </c>
      <c r="N22" s="33">
        <v>204.94623561341112</v>
      </c>
      <c r="O22" s="33">
        <v>203.21918663132621</v>
      </c>
      <c r="P22" s="34">
        <v>203.24999113497162</v>
      </c>
      <c r="Q22" s="33">
        <v>207.2533437206491</v>
      </c>
      <c r="R22" s="33">
        <v>205.28865316950493</v>
      </c>
      <c r="S22" s="33">
        <v>202.30662679826162</v>
      </c>
      <c r="T22" s="33">
        <v>198.62622269257088</v>
      </c>
      <c r="U22" s="33">
        <v>193.82772031920047</v>
      </c>
      <c r="V22" s="33">
        <v>193.88726783802252</v>
      </c>
      <c r="W22" s="33">
        <v>193.92503485152923</v>
      </c>
    </row>
    <row r="23" spans="2:23" ht="16.5" customHeight="1" x14ac:dyDescent="0.25">
      <c r="B23" s="26" t="s">
        <v>25</v>
      </c>
      <c r="C23" s="33">
        <v>148.75351040986268</v>
      </c>
      <c r="D23" s="33">
        <v>146.75697678356121</v>
      </c>
      <c r="E23" s="33">
        <v>144.73291289100936</v>
      </c>
      <c r="F23" s="33">
        <v>142.08711247655006</v>
      </c>
      <c r="G23" s="33">
        <v>138.24655611668902</v>
      </c>
      <c r="H23" s="33">
        <v>137.1925528676903</v>
      </c>
      <c r="I23" s="34">
        <v>136.99190127835115</v>
      </c>
      <c r="J23" s="33">
        <v>75.861952886240729</v>
      </c>
      <c r="K23" s="33">
        <v>74.776746818070819</v>
      </c>
      <c r="L23" s="33">
        <v>73.735598085080738</v>
      </c>
      <c r="M23" s="33">
        <v>72.469608668537688</v>
      </c>
      <c r="N23" s="33">
        <v>70.57745426366175</v>
      </c>
      <c r="O23" s="33">
        <v>69.77256446234486</v>
      </c>
      <c r="P23" s="34">
        <v>69.618182122295522</v>
      </c>
      <c r="Q23" s="33">
        <v>72.894295629452586</v>
      </c>
      <c r="R23" s="33">
        <v>71.982773212862497</v>
      </c>
      <c r="S23" s="33">
        <v>70.997310324886641</v>
      </c>
      <c r="T23" s="33">
        <v>69.619978140265232</v>
      </c>
      <c r="U23" s="33">
        <v>67.669221436072277</v>
      </c>
      <c r="V23" s="33">
        <v>67.41733046958484</v>
      </c>
      <c r="W23" s="33">
        <v>67.373930558309695</v>
      </c>
    </row>
    <row r="24" spans="2:23" ht="16.5" customHeight="1" x14ac:dyDescent="0.25">
      <c r="B24" s="35" t="s">
        <v>26</v>
      </c>
      <c r="C24" s="36">
        <v>191.68379183563417</v>
      </c>
      <c r="D24" s="36">
        <v>191.28741867053853</v>
      </c>
      <c r="E24" s="36">
        <v>189.60213484333207</v>
      </c>
      <c r="F24" s="36">
        <v>188.19143262447005</v>
      </c>
      <c r="G24" s="36">
        <v>187.65201228102583</v>
      </c>
      <c r="H24" s="36">
        <v>187.61979601115999</v>
      </c>
      <c r="I24" s="37">
        <v>187.78790191922408</v>
      </c>
      <c r="J24" s="36">
        <v>97.18159870919888</v>
      </c>
      <c r="K24" s="36">
        <v>96.844892700128042</v>
      </c>
      <c r="L24" s="36">
        <v>95.854999363734009</v>
      </c>
      <c r="M24" s="36">
        <v>95.13136788606549</v>
      </c>
      <c r="N24" s="36">
        <v>94.920151897696016</v>
      </c>
      <c r="O24" s="36">
        <v>94.382851922808257</v>
      </c>
      <c r="P24" s="37">
        <v>94.442120866891983</v>
      </c>
      <c r="Q24" s="36">
        <v>94.501570650075877</v>
      </c>
      <c r="R24" s="36">
        <v>94.442024724152134</v>
      </c>
      <c r="S24" s="36">
        <v>93.746883092515105</v>
      </c>
      <c r="T24" s="36">
        <v>93.060118478625185</v>
      </c>
      <c r="U24" s="36">
        <v>92.731514150584346</v>
      </c>
      <c r="V24" s="36">
        <v>93.237085218310455</v>
      </c>
      <c r="W24" s="36">
        <v>93.345034420853636</v>
      </c>
    </row>
    <row r="25" spans="2:23" ht="16.5" customHeight="1" x14ac:dyDescent="0.25">
      <c r="B25" s="38" t="s">
        <v>40</v>
      </c>
      <c r="C25" s="39">
        <v>1388.7454545454545</v>
      </c>
      <c r="D25" s="39">
        <v>1379.8846153846152</v>
      </c>
      <c r="E25" s="39">
        <v>1373.7588424437297</v>
      </c>
      <c r="F25" s="39">
        <v>1364.7649006622516</v>
      </c>
      <c r="G25" s="39">
        <v>1357.3724832214766</v>
      </c>
      <c r="H25" s="39">
        <v>1350.3390027825565</v>
      </c>
      <c r="I25" s="40">
        <f>100*'Tavola 3'!I25/'Tavola 3'!I49</f>
        <v>1356.2750057051851</v>
      </c>
      <c r="J25" s="39">
        <v>700.38299576533745</v>
      </c>
      <c r="K25" s="39">
        <v>695.61300427396986</v>
      </c>
      <c r="L25" s="39">
        <v>691.5059984364442</v>
      </c>
      <c r="M25" s="39">
        <v>686.06599746019799</v>
      </c>
      <c r="N25" s="39">
        <v>681.40400525859661</v>
      </c>
      <c r="O25" s="39">
        <v>676.76699613530343</v>
      </c>
      <c r="P25" s="40">
        <f>100*'Tavola 3'!P25/'Tavola 3'!P49</f>
        <v>679.0919927804332</v>
      </c>
      <c r="Q25" s="39">
        <v>688.51601571159301</v>
      </c>
      <c r="R25" s="39">
        <v>684.54401204712724</v>
      </c>
      <c r="S25" s="39">
        <v>681.01301336465838</v>
      </c>
      <c r="T25" s="39">
        <v>676.56700401732542</v>
      </c>
      <c r="U25" s="39">
        <v>674.24400332216305</v>
      </c>
      <c r="V25" s="39">
        <v>673.57199836678149</v>
      </c>
      <c r="W25" s="39">
        <f>100*'Tavola 3'!W25/'Tavola 3'!W49</f>
        <v>677.18299591567791</v>
      </c>
    </row>
    <row r="26" spans="2:23" ht="16.5" customHeight="1" x14ac:dyDescent="0.25">
      <c r="B26" s="38" t="s">
        <v>11</v>
      </c>
      <c r="C26" s="39">
        <v>2684.8825622775798</v>
      </c>
      <c r="D26" s="39">
        <v>2665.4788732394363</v>
      </c>
      <c r="E26" s="39">
        <v>2649.9473684210525</v>
      </c>
      <c r="F26" s="39">
        <v>2626.8552188552189</v>
      </c>
      <c r="G26" s="39">
        <v>2614.3827586206899</v>
      </c>
      <c r="H26" s="39">
        <v>2604.1660060032632</v>
      </c>
      <c r="I26" s="40">
        <f>100*'Tavola 3'!I26/'Tavola 3'!I50</f>
        <v>2612.8150230130627</v>
      </c>
      <c r="J26" s="39">
        <v>1343.069997232102</v>
      </c>
      <c r="K26" s="39">
        <v>1333.7040074473475</v>
      </c>
      <c r="L26" s="39">
        <v>1324.8949871252244</v>
      </c>
      <c r="M26" s="39">
        <v>1313.3770079627959</v>
      </c>
      <c r="N26" s="39">
        <v>1303.4350065634342</v>
      </c>
      <c r="O26" s="39">
        <v>1297.1240113790882</v>
      </c>
      <c r="P26" s="40">
        <f>100*'Tavola 3'!P26/'Tavola 3'!P50</f>
        <v>1300.1689880876911</v>
      </c>
      <c r="Q26" s="39">
        <v>1338.399999278424</v>
      </c>
      <c r="R26" s="39">
        <v>1330.0519946615784</v>
      </c>
      <c r="S26" s="39">
        <v>1322.1819948949055</v>
      </c>
      <c r="T26" s="39">
        <v>1313.0099779296672</v>
      </c>
      <c r="U26" s="39">
        <v>1307.6729748074777</v>
      </c>
      <c r="V26" s="39">
        <v>1307.0419786877374</v>
      </c>
      <c r="W26" s="39">
        <f>100*'Tavola 3'!W26/'Tavola 3'!W50</f>
        <v>1312.6459899910528</v>
      </c>
    </row>
    <row r="27" spans="2:23" ht="16.5" customHeight="1" x14ac:dyDescent="0.25">
      <c r="B27" s="26" t="s">
        <v>12</v>
      </c>
      <c r="C27" s="33">
        <v>17331.141731658132</v>
      </c>
      <c r="D27" s="33">
        <v>17318.778223301277</v>
      </c>
      <c r="E27" s="33">
        <v>17286.900142337829</v>
      </c>
      <c r="F27" s="33">
        <v>17218.792290068719</v>
      </c>
      <c r="G27" s="33">
        <v>17186.655774924569</v>
      </c>
      <c r="H27" s="33">
        <v>17152.275894061971</v>
      </c>
      <c r="I27" s="34">
        <f>100*'Tavola 3'!I27/'Tavola 3'!I51</f>
        <v>17226.170035778632</v>
      </c>
      <c r="J27" s="33">
        <v>8646.7700999942936</v>
      </c>
      <c r="K27" s="33">
        <v>8632.264106189743</v>
      </c>
      <c r="L27" s="33">
        <v>8614.0339475402288</v>
      </c>
      <c r="M27" s="33">
        <v>8571.519941741084</v>
      </c>
      <c r="N27" s="33">
        <v>8537.2438864608339</v>
      </c>
      <c r="O27" s="33">
        <v>8508.939898281651</v>
      </c>
      <c r="P27" s="34">
        <f>100*'Tavola 3'!P27/'Tavola 3'!P51</f>
        <v>8539.3449585482886</v>
      </c>
      <c r="Q27" s="33">
        <v>8684.3719980729511</v>
      </c>
      <c r="R27" s="33">
        <v>8686.5139814955</v>
      </c>
      <c r="S27" s="33">
        <v>8672.8648141879421</v>
      </c>
      <c r="T27" s="33">
        <v>8647.272055351752</v>
      </c>
      <c r="U27" s="33">
        <v>8649.4109900426556</v>
      </c>
      <c r="V27" s="33">
        <v>8643.3361465850157</v>
      </c>
      <c r="W27" s="33">
        <f>100*'Tavola 3'!W27/'Tavola 3'!W51</f>
        <v>8686.8260952804667</v>
      </c>
    </row>
    <row r="28" spans="2:23" ht="16.5" customHeight="1" x14ac:dyDescent="0.25">
      <c r="B28" s="26" t="s">
        <v>13</v>
      </c>
      <c r="C28" s="33">
        <v>7507.601989705794</v>
      </c>
      <c r="D28" s="33">
        <v>7481.2879469169629</v>
      </c>
      <c r="E28" s="33">
        <v>7438.7000887310078</v>
      </c>
      <c r="F28" s="33">
        <v>7389.442029878508</v>
      </c>
      <c r="G28" s="33">
        <v>7365.4489207373381</v>
      </c>
      <c r="H28" s="33">
        <v>7331.9828891017842</v>
      </c>
      <c r="I28" s="34">
        <f>100*'Tavola 3'!I28/'Tavola 3'!I52</f>
        <v>7355.3280763043085</v>
      </c>
      <c r="J28" s="33">
        <v>3796.7459849852803</v>
      </c>
      <c r="K28" s="33">
        <v>3780.6009840479701</v>
      </c>
      <c r="L28" s="33">
        <v>3757.6950008935514</v>
      </c>
      <c r="M28" s="33">
        <v>3729.4740072891732</v>
      </c>
      <c r="N28" s="33">
        <v>3709.6619530378121</v>
      </c>
      <c r="O28" s="33">
        <v>3683.0029726204471</v>
      </c>
      <c r="P28" s="34">
        <f>100*'Tavola 3'!P28/'Tavola 3'!P52</f>
        <v>3693.5139744534908</v>
      </c>
      <c r="Q28" s="33">
        <v>3710.8570438407482</v>
      </c>
      <c r="R28" s="33">
        <v>3700.6870142523539</v>
      </c>
      <c r="S28" s="33">
        <v>3681.0050560851091</v>
      </c>
      <c r="T28" s="33">
        <v>3659.9670492593868</v>
      </c>
      <c r="U28" s="33">
        <v>3655.787014980338</v>
      </c>
      <c r="V28" s="33">
        <v>3648.9810493088003</v>
      </c>
      <c r="W28" s="33">
        <f>100*'Tavola 3'!W28/'Tavola 3'!W52</f>
        <v>3661.8139812662512</v>
      </c>
    </row>
    <row r="29" spans="2:23" ht="16.5" customHeight="1" x14ac:dyDescent="0.25">
      <c r="B29" s="35" t="s">
        <v>19</v>
      </c>
      <c r="C29" s="36">
        <v>13323.258964796179</v>
      </c>
      <c r="D29" s="36">
        <v>13206.683906376882</v>
      </c>
      <c r="E29" s="36">
        <v>13071.928905019317</v>
      </c>
      <c r="F29" s="36">
        <v>12917.605015476827</v>
      </c>
      <c r="G29" s="36">
        <v>12713.924872249096</v>
      </c>
      <c r="H29" s="36">
        <v>12658.387940796993</v>
      </c>
      <c r="I29" s="37">
        <f>100*'Tavola 3'!I29/'Tavola 3'!I53</f>
        <v>10600.208511244222</v>
      </c>
      <c r="J29" s="36">
        <v>6708.197004001232</v>
      </c>
      <c r="K29" s="36">
        <v>6647.9660443360226</v>
      </c>
      <c r="L29" s="36">
        <v>6581.2900184500777</v>
      </c>
      <c r="M29" s="36">
        <v>6502.6579722860233</v>
      </c>
      <c r="N29" s="36">
        <v>6399.1860071998644</v>
      </c>
      <c r="O29" s="36">
        <v>6353.4799461371713</v>
      </c>
      <c r="P29" s="37">
        <f>100*'Tavola 3'!P29/'Tavola 3'!P53</f>
        <v>5647.5131904725858</v>
      </c>
      <c r="Q29" s="36">
        <v>6615.0620101913637</v>
      </c>
      <c r="R29" s="36">
        <v>6558.7179626427005</v>
      </c>
      <c r="S29" s="36">
        <v>6490.6390186273211</v>
      </c>
      <c r="T29" s="36">
        <v>6414.9470586029902</v>
      </c>
      <c r="U29" s="36">
        <v>6314.7390468167096</v>
      </c>
      <c r="V29" s="36">
        <v>6304.9079993062351</v>
      </c>
      <c r="W29" s="36">
        <f>100*'Tavola 3'!W29/'Tavola 3'!W53</f>
        <v>4789.1069235738833</v>
      </c>
    </row>
    <row r="30" spans="2:23" ht="16.5" customHeight="1" x14ac:dyDescent="0.25">
      <c r="B30" s="28" t="s">
        <v>14</v>
      </c>
      <c r="C30" s="41">
        <v>38162.002495332141</v>
      </c>
      <c r="D30" s="41">
        <v>38006.749617230395</v>
      </c>
      <c r="E30" s="41">
        <v>37797.529361038469</v>
      </c>
      <c r="F30" s="41">
        <v>37525.838457196973</v>
      </c>
      <c r="G30" s="41">
        <v>37266.029536768176</v>
      </c>
      <c r="H30" s="41">
        <v>37142.646897605155</v>
      </c>
      <c r="I30" s="42">
        <f>100*'Tavola 3'!I30/'Tavola 3'!I54</f>
        <v>37230.363799300598</v>
      </c>
      <c r="J30" s="41">
        <v>19151.712145862373</v>
      </c>
      <c r="K30" s="41">
        <v>19060.830946378439</v>
      </c>
      <c r="L30" s="41">
        <v>18953.020017718107</v>
      </c>
      <c r="M30" s="41">
        <v>18803.652078913783</v>
      </c>
      <c r="N30" s="41">
        <v>18646.091022095305</v>
      </c>
      <c r="O30" s="41">
        <v>18545.42218979634</v>
      </c>
      <c r="P30" s="42">
        <f>100*'Tavola 3'!P30/'Tavola 3'!P54</f>
        <v>18578.327884551396</v>
      </c>
      <c r="Q30" s="41">
        <v>19010.290621099197</v>
      </c>
      <c r="R30" s="41">
        <v>18945.918852553368</v>
      </c>
      <c r="S30" s="41">
        <v>18844.50893115568</v>
      </c>
      <c r="T30" s="41">
        <v>18722.186353511028</v>
      </c>
      <c r="U30" s="41">
        <v>18619.93825853501</v>
      </c>
      <c r="V30" s="41">
        <v>18597.225158085352</v>
      </c>
      <c r="W30" s="41">
        <f>100*'Tavola 3'!W30/'Tavola 3'!W54</f>
        <v>18652.035939088917</v>
      </c>
    </row>
    <row r="31" spans="2:23" ht="16.5" customHeight="1" x14ac:dyDescent="0.3">
      <c r="B31" s="1"/>
      <c r="C31" s="1"/>
      <c r="D31" s="1"/>
      <c r="E31" s="1"/>
      <c r="F31" s="1"/>
      <c r="G31" s="1"/>
      <c r="H31" s="1"/>
      <c r="I31" s="1"/>
      <c r="J31" s="1"/>
      <c r="K31" s="1"/>
      <c r="L31" s="1"/>
      <c r="M31" s="1"/>
      <c r="N31" s="1"/>
      <c r="O31" s="1"/>
      <c r="P31" s="1"/>
      <c r="Q31" s="1"/>
      <c r="R31" s="1"/>
      <c r="S31" s="1"/>
      <c r="T31" s="1"/>
      <c r="U31" s="1"/>
      <c r="V31" s="1"/>
      <c r="W31" s="1"/>
    </row>
    <row r="32" spans="2:23" ht="16.5" customHeight="1" x14ac:dyDescent="0.3">
      <c r="B32" s="4" t="s">
        <v>50</v>
      </c>
      <c r="C32" s="1"/>
      <c r="D32" s="1"/>
      <c r="E32" s="1"/>
      <c r="F32" s="1"/>
      <c r="G32" s="1"/>
      <c r="H32" s="1"/>
      <c r="I32" s="1"/>
      <c r="J32" s="1"/>
      <c r="K32" s="1"/>
      <c r="L32" s="1"/>
      <c r="M32" s="1"/>
      <c r="N32" s="1"/>
      <c r="O32" s="1"/>
      <c r="P32" s="1"/>
      <c r="Q32" s="1"/>
      <c r="R32" s="1"/>
      <c r="S32" s="1"/>
      <c r="T32" s="1"/>
      <c r="U32" s="1"/>
      <c r="V32" s="1"/>
      <c r="W32" s="1"/>
    </row>
    <row r="33" spans="2:17" ht="16.5" customHeight="1" x14ac:dyDescent="0.3">
      <c r="B33" s="4" t="s">
        <v>47</v>
      </c>
      <c r="M33" s="1"/>
      <c r="N33" s="1"/>
      <c r="O33" s="1"/>
      <c r="P33" s="1"/>
      <c r="Q33" s="1"/>
    </row>
    <row r="34" spans="2:17" ht="16.5" customHeight="1" x14ac:dyDescent="0.3">
      <c r="M34" s="1"/>
      <c r="N34" s="1"/>
      <c r="O34" s="1"/>
      <c r="P34" s="1"/>
      <c r="Q34" s="1"/>
    </row>
  </sheetData>
  <mergeCells count="5">
    <mergeCell ref="B9:W9"/>
    <mergeCell ref="B10:B11"/>
    <mergeCell ref="C10:I10"/>
    <mergeCell ref="J10:P10"/>
    <mergeCell ref="Q10:W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INDICE</vt:lpstr>
      <vt:lpstr>LEGGIMI</vt:lpstr>
      <vt:lpstr>GLOSSARIO</vt:lpstr>
      <vt:lpstr>Tavola 1</vt:lpstr>
      <vt:lpstr>Tavola 2</vt:lpstr>
      <vt:lpstr>Tavola 3</vt:lpstr>
      <vt:lpstr>Tavola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Serena Drufuca</dc:creator>
  <cp:lastModifiedBy>Vernoni</cp:lastModifiedBy>
  <dcterms:created xsi:type="dcterms:W3CDTF">2023-06-03T12:39:00Z</dcterms:created>
  <dcterms:modified xsi:type="dcterms:W3CDTF">2025-06-03T14:09:58Z</dcterms:modified>
</cp:coreProperties>
</file>